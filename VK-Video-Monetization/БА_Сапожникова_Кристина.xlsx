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" sheetId="1" r:id="rId5"/>
    <sheet state="visible" name="Задание 1(Рабочий лист)" sheetId="2" r:id="rId6"/>
    <sheet state="visible" name="Задание 2" sheetId="3" r:id="rId7"/>
    <sheet state="visible" name="Задание 2.2" sheetId="4" r:id="rId8"/>
    <sheet state="visible" name="Задание 2 (Инструкция)" sheetId="5" r:id="rId9"/>
    <sheet state="visible" name="Задание 2 (Рабочий лист)" sheetId="6" r:id="rId10"/>
    <sheet state="visible" name="Задание 2 (Справочник)" sheetId="7" r:id="rId11"/>
    <sheet state="visible" name="Задание 2 (Известные данные)" sheetId="8" r:id="rId12"/>
  </sheets>
  <definedNames/>
  <calcPr/>
</workbook>
</file>

<file path=xl/sharedStrings.xml><?xml version="1.0" encoding="utf-8"?>
<sst xmlns="http://schemas.openxmlformats.org/spreadsheetml/2006/main" count="1680" uniqueCount="619">
  <si>
    <t>Цель</t>
  </si>
  <si>
    <t>Изучить существующие подходы к расчету вознаграждения авторам на видеоплатформах, сравнить их и выбрать наиболее подходящий для VK Видео</t>
  </si>
  <si>
    <t>Что нужно сделать</t>
  </si>
  <si>
    <t>1.</t>
  </si>
  <si>
    <t>Собрать информацию по методам начисления вознаграждения и заполнить таблицу по форме:</t>
  </si>
  <si>
    <t>Метод начисления</t>
  </si>
  <si>
    <t>Описание</t>
  </si>
  <si>
    <t>Особенности</t>
  </si>
  <si>
    <t>Какие платформы используют</t>
  </si>
  <si>
    <t>...</t>
  </si>
  <si>
    <t>Рассмотреть минимум 3 метода начисления вознаграждения авторам</t>
  </si>
  <si>
    <t>– Оплата за просмотры</t>
  </si>
  <si>
    <t>– Оплата за рекламные просмотры</t>
  </si>
  <si>
    <t>– Revenue Share</t>
  </si>
  <si>
    <t>– Оплата за вовлеченность (лайки, комментарии, репосты)</t>
  </si>
  <si>
    <t>– Гибридная модель</t>
  </si>
  <si>
    <t>– Свой вариант</t>
  </si>
  <si>
    <t>2.</t>
  </si>
  <si>
    <t>На основе анализа заполненной таблицы выбрать один метод, который ты бы применил для партнерской программы VK Видео</t>
  </si>
  <si>
    <t>3.</t>
  </si>
  <si>
    <t>Подготовить первый слайд презентации</t>
  </si>
  <si>
    <t>Слайд должен содержать:</t>
  </si>
  <si>
    <t>– Краткую сравнительную понятную характеристику методов</t>
  </si>
  <si>
    <t>– Выделение выбранного метода</t>
  </si>
  <si>
    <t>– Обоснование: почему ты выбираешь именно этот метод (2–4 предложения с аргументами)</t>
  </si>
  <si>
    <t>1. Сравнительная таблица методов начисления</t>
  </si>
  <si>
    <t>Оплата за просмотры</t>
  </si>
  <si>
    <t>Фиксированная или динамическая ставка за каждые 1000 просмотров (RPM)</t>
  </si>
  <si>
    <t>Простой и прозрачный расчёт. Мотивирует количество просмотров, но слабо учитывает качество и может поощрять кликбейт. Платформа платит из своего кармана.</t>
  </si>
  <si>
    <t>TikTok (Creator Fund, раньше), Facebook* (бонус за просмотры)</t>
  </si>
  <si>
    <t>* - запрещено на территории РФ</t>
  </si>
  <si>
    <t>Оплата за рекламные просмотры</t>
  </si>
  <si>
    <t>Выплата зависит от числа показов рекламы внутри видео и CPM (стоимости 1000 показов).</t>
  </si>
  <si>
    <t>Прямо зависит от количества рекламы, которую досмотрели зрители. Высокая зависимость от рекламодателей.</t>
  </si>
  <si>
    <t>YouTube (AdSense, партнёрская программа)</t>
  </si>
  <si>
    <t>Revenue Share</t>
  </si>
  <si>
    <t>Платформа делит часть своей рекламной или подписочной выручки с автором (обычно 50–70%).</t>
  </si>
  <si>
    <t>Самая справедливая модель: интересы платформы и автора совпадают. Зависит от качества аудитории, тематики и эффективности рекламы.</t>
  </si>
  <si>
    <t>YouTube (55% автору), Twitch (50/50), VK Donut</t>
  </si>
  <si>
    <t>Оплата за вовлеченность</t>
  </si>
  <si>
    <t>Бонус за лайки, комментарии, репосты, сохранения (например, 0,01₽ за реакцию).</t>
  </si>
  <si>
    <t>Сильно мотивирует качество контента и лояльность аудитории. Сложнее считать и проверять</t>
  </si>
  <si>
    <t>Instagram (раньше бонусы за лайки)*, Telegram (звёзды)</t>
  </si>
  <si>
    <t>Гибридная модель</t>
  </si>
  <si>
    <t>Комбинация нескольких методов (например, Revenue Share + бонус за вовлечённость/досмотры)</t>
  </si>
  <si>
    <t>Самая гибкая. Позволяет одновременно стимулировать и количество просмотров, и качество. Минимальные риски для платформы.</t>
  </si>
  <si>
    <t>YouTube (частично: Super Thanks + AdSense), TikTok (новый фонд)</t>
  </si>
  <si>
    <t>Свой вариант: Смешанная с коэффициентом качества</t>
  </si>
  <si>
    <t>Revenue Share (например, 50%) + множитель за вовлеченность (нормированный по тематике).</t>
  </si>
  <si>
    <t>Базовая доля от рекламы + гарантированная минимальная ставка за хорошие досмотры. Защищает авторов даже при слабой монетизации рекламы.</t>
  </si>
  <si>
    <t>Предлагаю именно для VK Видео</t>
  </si>
  <si>
    <t>На основе выбранного метода начисления  в задании 1 рассчитать выплаты авторам, оценить распределение бюджета по тематикам и определить ключевые статистические показатели.</t>
  </si>
  <si>
    <t>Собрать таблицу с данным для расчета вознаграждения (Задание 2 (Инструкция))</t>
  </si>
  <si>
    <t>Посчитать выплату по каждому автору, используя метод, который ты выбрал в задании 1</t>
  </si>
  <si>
    <t>Собрать табличку, состоящую из обязательных столбиков</t>
  </si>
  <si>
    <t>4.</t>
  </si>
  <si>
    <t>Можно добавить дополнительные столбики, которые покажут правильность выбора метода</t>
  </si>
  <si>
    <t>Обязательные столбики</t>
  </si>
  <si>
    <t>Тематика</t>
  </si>
  <si>
    <t>Кол-во авторов</t>
  </si>
  <si>
    <t>Средняя выплата</t>
  </si>
  <si>
    <t>Медианная выплата</t>
  </si>
  <si>
    <t xml:space="preserve">Выплата </t>
  </si>
  <si>
    <t>Доля выплат топ-10% авторов</t>
  </si>
  <si>
    <t>5.</t>
  </si>
  <si>
    <t>Подготовить второй слайд презентации</t>
  </si>
  <si>
    <t>– Результаты расчетов</t>
  </si>
  <si>
    <t>– Краткий комментарий о различиях между тематиками (если они заметны)</t>
  </si>
  <si>
    <t>Сводная таблица по тематикам</t>
  </si>
  <si>
    <t>Выплата</t>
  </si>
  <si>
    <t>Средние просмотры</t>
  </si>
  <si>
    <t>Реакций на 1000 просмотров</t>
  </si>
  <si>
    <t>Выручка на 1000 просмотров</t>
  </si>
  <si>
    <t>Выплата на 1000 просмотров</t>
  </si>
  <si>
    <t>Детский контент</t>
  </si>
  <si>
    <t>Спорт</t>
  </si>
  <si>
    <t>Игры</t>
  </si>
  <si>
    <t>Еда</t>
  </si>
  <si>
    <t>Развлечения</t>
  </si>
  <si>
    <t>Дополнительные столбцы помогают проверить гипотезу: темы с более высокой вовлечённостью и просмотрами обычно дают больший бюджет выплат.</t>
  </si>
  <si>
    <t>Дано</t>
  </si>
  <si>
    <t>Рабочий лист</t>
  </si>
  <si>
    <t xml:space="preserve">– Лист на котором нужно производить все расчеты </t>
  </si>
  <si>
    <t>– У тебя есть ID автора и его тематика</t>
  </si>
  <si>
    <t>– Остальные столбики нужно заполнить самостоятельно, используя данные с листа (Известные данные) и параметры на листе (Справочник)</t>
  </si>
  <si>
    <t>Справочник</t>
  </si>
  <si>
    <t>Тематики</t>
  </si>
  <si>
    <t>– Доля подписчиков, которые постоянно смотрят авторов в каждой тематике</t>
  </si>
  <si>
    <t>– Доля новых зрителей от всех просмотров автора в каждой тематике</t>
  </si>
  <si>
    <t>– Сегменты по подписчикам</t>
  </si>
  <si>
    <t>– Пороговые значения для кажого сегмента</t>
  </si>
  <si>
    <t>– Вовлеченность</t>
  </si>
  <si>
    <t>– Доля реакций от просмотров для каждого сегмента</t>
  </si>
  <si>
    <t>Таблица с известными данными по кажому автору за месяц</t>
  </si>
  <si>
    <t>– Подписчики</t>
  </si>
  <si>
    <t>– Рекламные показы</t>
  </si>
  <si>
    <t>– Рекламный CPM</t>
  </si>
  <si>
    <t>Рассчитать</t>
  </si>
  <si>
    <t>Просмотры</t>
  </si>
  <si>
    <t>Не все подписчики смотрят видео — только доля из справочника. Кроме того, часть просмотров приходит от неподписанных зрителей. Их доля от общего числа просмотров — это второй процент из того же справочника. Полученный результат нужно округлить ло целого</t>
  </si>
  <si>
    <t>Выручка</t>
  </si>
  <si>
    <t>Зависит от рекламных показов и CPM (стоимость 1000 показов).</t>
  </si>
  <si>
    <t>Вовлеченность</t>
  </si>
  <si>
    <t>Сначала определить сегмент автора по подписчикам. Затем взять из справочника долю реакций от просмотров для этого сегмента и рассчитать вовлечённость на основе просмотров.</t>
  </si>
  <si>
    <t>Посчитать выплату по каждому автору, используя метод, который ты выбрал в Задании 1</t>
  </si>
  <si>
    <t>ID</t>
  </si>
  <si>
    <t>Сегмент по подписчикам</t>
  </si>
  <si>
    <t>Подписчики</t>
  </si>
  <si>
    <t>Рекламные показы</t>
  </si>
  <si>
    <t>Автор 1</t>
  </si>
  <si>
    <t>Автор 2</t>
  </si>
  <si>
    <t>Автор 3</t>
  </si>
  <si>
    <t>Автор 4</t>
  </si>
  <si>
    <t>Автор 5</t>
  </si>
  <si>
    <t>Автор 6</t>
  </si>
  <si>
    <t>Автор 7</t>
  </si>
  <si>
    <t>Автор 8</t>
  </si>
  <si>
    <t>Автор 9</t>
  </si>
  <si>
    <t>Автор 10</t>
  </si>
  <si>
    <t>Автор 11</t>
  </si>
  <si>
    <t>Автор 12</t>
  </si>
  <si>
    <t>Автор 13</t>
  </si>
  <si>
    <t>Автор 14</t>
  </si>
  <si>
    <t>Автор 15</t>
  </si>
  <si>
    <t>Автор 16</t>
  </si>
  <si>
    <t>Автор 17</t>
  </si>
  <si>
    <t>Автор 18</t>
  </si>
  <si>
    <t>Автор 19</t>
  </si>
  <si>
    <t>Автор 20</t>
  </si>
  <si>
    <t>Автор 21</t>
  </si>
  <si>
    <t>Автор 22</t>
  </si>
  <si>
    <t>Автор 23</t>
  </si>
  <si>
    <t>Автор 24</t>
  </si>
  <si>
    <t>Автор 25</t>
  </si>
  <si>
    <t>Автор 26</t>
  </si>
  <si>
    <t>Автор 27</t>
  </si>
  <si>
    <t>Автор 28</t>
  </si>
  <si>
    <t>Автор 29</t>
  </si>
  <si>
    <t>Автор 30</t>
  </si>
  <si>
    <t>Автор 31</t>
  </si>
  <si>
    <t>Автор 32</t>
  </si>
  <si>
    <t>Автор 33</t>
  </si>
  <si>
    <t>Автор 34</t>
  </si>
  <si>
    <t>Автор 35</t>
  </si>
  <si>
    <t>Автор 36</t>
  </si>
  <si>
    <t>Автор 37</t>
  </si>
  <si>
    <t>Автор 38</t>
  </si>
  <si>
    <t>Автор 39</t>
  </si>
  <si>
    <t>Автор 40</t>
  </si>
  <si>
    <t>Автор 41</t>
  </si>
  <si>
    <t>Автор 42</t>
  </si>
  <si>
    <t>Автор 43</t>
  </si>
  <si>
    <t>Автор 44</t>
  </si>
  <si>
    <t>Автор 45</t>
  </si>
  <si>
    <t>Автор 46</t>
  </si>
  <si>
    <t>Автор 47</t>
  </si>
  <si>
    <t>Автор 48</t>
  </si>
  <si>
    <t>Автор 49</t>
  </si>
  <si>
    <t>Автор 50</t>
  </si>
  <si>
    <t>Автор 51</t>
  </si>
  <si>
    <t>Автор 52</t>
  </si>
  <si>
    <t>Автор 53</t>
  </si>
  <si>
    <t>Автор 54</t>
  </si>
  <si>
    <t>Автор 55</t>
  </si>
  <si>
    <t>Автор 56</t>
  </si>
  <si>
    <t>Автор 57</t>
  </si>
  <si>
    <t>Автор 58</t>
  </si>
  <si>
    <t>Автор 59</t>
  </si>
  <si>
    <t>Автор 60</t>
  </si>
  <si>
    <t>Автор 61</t>
  </si>
  <si>
    <t>Автор 62</t>
  </si>
  <si>
    <t>Автор 63</t>
  </si>
  <si>
    <t>Автор 64</t>
  </si>
  <si>
    <t>Автор 65</t>
  </si>
  <si>
    <t>Автор 66</t>
  </si>
  <si>
    <t>Автор 67</t>
  </si>
  <si>
    <t>Автор 68</t>
  </si>
  <si>
    <t>Автор 69</t>
  </si>
  <si>
    <t>Автор 70</t>
  </si>
  <si>
    <t>Автор 71</t>
  </si>
  <si>
    <t>Автор 72</t>
  </si>
  <si>
    <t>Автор 73</t>
  </si>
  <si>
    <t>Автор 74</t>
  </si>
  <si>
    <t>Автор 75</t>
  </si>
  <si>
    <t>Автор 76</t>
  </si>
  <si>
    <t>Автор 77</t>
  </si>
  <si>
    <t>Автор 78</t>
  </si>
  <si>
    <t>Автор 79</t>
  </si>
  <si>
    <t>Автор 80</t>
  </si>
  <si>
    <t>Автор 81</t>
  </si>
  <si>
    <t>Автор 82</t>
  </si>
  <si>
    <t>Автор 83</t>
  </si>
  <si>
    <t>Автор 84</t>
  </si>
  <si>
    <t>Автор 85</t>
  </si>
  <si>
    <t>Автор 86</t>
  </si>
  <si>
    <t>Автор 87</t>
  </si>
  <si>
    <t>Автор 88</t>
  </si>
  <si>
    <t>Автор 89</t>
  </si>
  <si>
    <t>Автор 90</t>
  </si>
  <si>
    <t>Автор 91</t>
  </si>
  <si>
    <t>Автор 92</t>
  </si>
  <si>
    <t>Автор 93</t>
  </si>
  <si>
    <t>Автор 94</t>
  </si>
  <si>
    <t>Автор 95</t>
  </si>
  <si>
    <t>Автор 96</t>
  </si>
  <si>
    <t>Автор 97</t>
  </si>
  <si>
    <t>Автор 98</t>
  </si>
  <si>
    <t>Автор 99</t>
  </si>
  <si>
    <t>Автор 100</t>
  </si>
  <si>
    <t>Автор 101</t>
  </si>
  <si>
    <t>Автор 102</t>
  </si>
  <si>
    <t>Автор 103</t>
  </si>
  <si>
    <t>Автор 104</t>
  </si>
  <si>
    <t>Автор 105</t>
  </si>
  <si>
    <t>Автор 106</t>
  </si>
  <si>
    <t>Автор 107</t>
  </si>
  <si>
    <t>Автор 108</t>
  </si>
  <si>
    <t>Автор 109</t>
  </si>
  <si>
    <t>Автор 110</t>
  </si>
  <si>
    <t>Автор 111</t>
  </si>
  <si>
    <t>Автор 112</t>
  </si>
  <si>
    <t>Автор 113</t>
  </si>
  <si>
    <t>Автор 114</t>
  </si>
  <si>
    <t>Автор 115</t>
  </si>
  <si>
    <t>Автор 116</t>
  </si>
  <si>
    <t>Автор 117</t>
  </si>
  <si>
    <t>Автор 118</t>
  </si>
  <si>
    <t>Автор 119</t>
  </si>
  <si>
    <t>Автор 120</t>
  </si>
  <si>
    <t>Автор 121</t>
  </si>
  <si>
    <t>Автор 122</t>
  </si>
  <si>
    <t>Автор 123</t>
  </si>
  <si>
    <t>Автор 124</t>
  </si>
  <si>
    <t>Автор 125</t>
  </si>
  <si>
    <t>Автор 126</t>
  </si>
  <si>
    <t>Автор 127</t>
  </si>
  <si>
    <t>Автор 128</t>
  </si>
  <si>
    <t>Автор 129</t>
  </si>
  <si>
    <t>Автор 130</t>
  </si>
  <si>
    <t>Автор 131</t>
  </si>
  <si>
    <t>Автор 132</t>
  </si>
  <si>
    <t>Автор 133</t>
  </si>
  <si>
    <t>Автор 134</t>
  </si>
  <si>
    <t>Автор 135</t>
  </si>
  <si>
    <t>Автор 136</t>
  </si>
  <si>
    <t>Автор 137</t>
  </si>
  <si>
    <t>Автор 138</t>
  </si>
  <si>
    <t>Автор 139</t>
  </si>
  <si>
    <t>Автор 140</t>
  </si>
  <si>
    <t>Автор 141</t>
  </si>
  <si>
    <t>Автор 142</t>
  </si>
  <si>
    <t>Автор 143</t>
  </si>
  <si>
    <t>Автор 144</t>
  </si>
  <si>
    <t>Автор 145</t>
  </si>
  <si>
    <t>Автор 146</t>
  </si>
  <si>
    <t>Автор 147</t>
  </si>
  <si>
    <t>Автор 148</t>
  </si>
  <si>
    <t>Автор 149</t>
  </si>
  <si>
    <t>Автор 150</t>
  </si>
  <si>
    <t>Автор 151</t>
  </si>
  <si>
    <t>Автор 152</t>
  </si>
  <si>
    <t>Автор 153</t>
  </si>
  <si>
    <t>Автор 154</t>
  </si>
  <si>
    <t>Автор 155</t>
  </si>
  <si>
    <t>Автор 156</t>
  </si>
  <si>
    <t>Автор 157</t>
  </si>
  <si>
    <t>Автор 158</t>
  </si>
  <si>
    <t>Автор 159</t>
  </si>
  <si>
    <t>Автор 160</t>
  </si>
  <si>
    <t>Автор 161</t>
  </si>
  <si>
    <t>Автор 162</t>
  </si>
  <si>
    <t>Автор 163</t>
  </si>
  <si>
    <t>Автор 164</t>
  </si>
  <si>
    <t>Автор 165</t>
  </si>
  <si>
    <t>Автор 166</t>
  </si>
  <si>
    <t>Автор 167</t>
  </si>
  <si>
    <t>Автор 168</t>
  </si>
  <si>
    <t>Автор 169</t>
  </si>
  <si>
    <t>Автор 170</t>
  </si>
  <si>
    <t>Автор 171</t>
  </si>
  <si>
    <t>Автор 172</t>
  </si>
  <si>
    <t>Автор 173</t>
  </si>
  <si>
    <t>Автор 174</t>
  </si>
  <si>
    <t>Автор 175</t>
  </si>
  <si>
    <t>Автор 176</t>
  </si>
  <si>
    <t>Автор 177</t>
  </si>
  <si>
    <t>Автор 178</t>
  </si>
  <si>
    <t>Автор 179</t>
  </si>
  <si>
    <t>Автор 180</t>
  </si>
  <si>
    <t>Автор 181</t>
  </si>
  <si>
    <t>Автор 182</t>
  </si>
  <si>
    <t>Автор 183</t>
  </si>
  <si>
    <t>Автор 184</t>
  </si>
  <si>
    <t>Автор 185</t>
  </si>
  <si>
    <t>Автор 186</t>
  </si>
  <si>
    <t>Автор 187</t>
  </si>
  <si>
    <t>Автор 188</t>
  </si>
  <si>
    <t>Автор 189</t>
  </si>
  <si>
    <t>Автор 190</t>
  </si>
  <si>
    <t>Автор 191</t>
  </si>
  <si>
    <t>Автор 192</t>
  </si>
  <si>
    <t>Автор 193</t>
  </si>
  <si>
    <t>Автор 194</t>
  </si>
  <si>
    <t>Автор 195</t>
  </si>
  <si>
    <t>Автор 196</t>
  </si>
  <si>
    <t>Автор 197</t>
  </si>
  <si>
    <t>Автор 198</t>
  </si>
  <si>
    <t>Автор 199</t>
  </si>
  <si>
    <t>Автор 200</t>
  </si>
  <si>
    <t>Автор 201</t>
  </si>
  <si>
    <t>Автор 202</t>
  </si>
  <si>
    <t>Автор 203</t>
  </si>
  <si>
    <t>Автор 204</t>
  </si>
  <si>
    <t>Автор 205</t>
  </si>
  <si>
    <t>Автор 206</t>
  </si>
  <si>
    <t>Автор 207</t>
  </si>
  <si>
    <t>Автор 208</t>
  </si>
  <si>
    <t>Автор 209</t>
  </si>
  <si>
    <t>Автор 210</t>
  </si>
  <si>
    <t>Автор 211</t>
  </si>
  <si>
    <t>Автор 212</t>
  </si>
  <si>
    <t>Автор 213</t>
  </si>
  <si>
    <t>Автор 214</t>
  </si>
  <si>
    <t>Автор 215</t>
  </si>
  <si>
    <t>Автор 216</t>
  </si>
  <si>
    <t>Автор 217</t>
  </si>
  <si>
    <t>Автор 218</t>
  </si>
  <si>
    <t>Автор 219</t>
  </si>
  <si>
    <t>Автор 220</t>
  </si>
  <si>
    <t>Автор 221</t>
  </si>
  <si>
    <t>Автор 222</t>
  </si>
  <si>
    <t>Автор 223</t>
  </si>
  <si>
    <t>Автор 224</t>
  </si>
  <si>
    <t>Автор 225</t>
  </si>
  <si>
    <t>Автор 226</t>
  </si>
  <si>
    <t>Автор 227</t>
  </si>
  <si>
    <t>Автор 228</t>
  </si>
  <si>
    <t>Автор 229</t>
  </si>
  <si>
    <t>Автор 230</t>
  </si>
  <si>
    <t>Автор 231</t>
  </si>
  <si>
    <t>Автор 232</t>
  </si>
  <si>
    <t>Автор 233</t>
  </si>
  <si>
    <t>Автор 234</t>
  </si>
  <si>
    <t>Автор 235</t>
  </si>
  <si>
    <t>Автор 236</t>
  </si>
  <si>
    <t>Автор 237</t>
  </si>
  <si>
    <t>Автор 238</t>
  </si>
  <si>
    <t>Автор 239</t>
  </si>
  <si>
    <t>Автор 240</t>
  </si>
  <si>
    <t>Автор 241</t>
  </si>
  <si>
    <t>Автор 242</t>
  </si>
  <si>
    <t>Автор 243</t>
  </si>
  <si>
    <t>Автор 244</t>
  </si>
  <si>
    <t>Автор 245</t>
  </si>
  <si>
    <t>Автор 246</t>
  </si>
  <si>
    <t>Автор 247</t>
  </si>
  <si>
    <t>Автор 248</t>
  </si>
  <si>
    <t>Автор 249</t>
  </si>
  <si>
    <t>Автор 250</t>
  </si>
  <si>
    <t>Автор 251</t>
  </si>
  <si>
    <t>Автор 252</t>
  </si>
  <si>
    <t>Автор 253</t>
  </si>
  <si>
    <t>Автор 254</t>
  </si>
  <si>
    <t>Автор 255</t>
  </si>
  <si>
    <t>Автор 256</t>
  </si>
  <si>
    <t>Автор 257</t>
  </si>
  <si>
    <t>Автор 258</t>
  </si>
  <si>
    <t>Автор 259</t>
  </si>
  <si>
    <t>Автор 260</t>
  </si>
  <si>
    <t>Автор 261</t>
  </si>
  <si>
    <t>Автор 262</t>
  </si>
  <si>
    <t>Автор 263</t>
  </si>
  <si>
    <t>Автор 264</t>
  </si>
  <si>
    <t>Автор 265</t>
  </si>
  <si>
    <t>Автор 266</t>
  </si>
  <si>
    <t>Автор 267</t>
  </si>
  <si>
    <t>Автор 268</t>
  </si>
  <si>
    <t>Автор 269</t>
  </si>
  <si>
    <t>Автор 270</t>
  </si>
  <si>
    <t>Автор 271</t>
  </si>
  <si>
    <t>Автор 272</t>
  </si>
  <si>
    <t>Автор 273</t>
  </si>
  <si>
    <t>Автор 274</t>
  </si>
  <si>
    <t>Автор 275</t>
  </si>
  <si>
    <t>Автор 276</t>
  </si>
  <si>
    <t>Автор 277</t>
  </si>
  <si>
    <t>Автор 278</t>
  </si>
  <si>
    <t>Автор 279</t>
  </si>
  <si>
    <t>Автор 280</t>
  </si>
  <si>
    <t>Автор 281</t>
  </si>
  <si>
    <t>Автор 282</t>
  </si>
  <si>
    <t>Автор 283</t>
  </si>
  <si>
    <t>Автор 284</t>
  </si>
  <si>
    <t>Автор 285</t>
  </si>
  <si>
    <t>Автор 286</t>
  </si>
  <si>
    <t>Автор 287</t>
  </si>
  <si>
    <t>Автор 288</t>
  </si>
  <si>
    <t>Автор 289</t>
  </si>
  <si>
    <t>Автор 290</t>
  </si>
  <si>
    <t>Автор 291</t>
  </si>
  <si>
    <t>Автор 292</t>
  </si>
  <si>
    <t>Автор 293</t>
  </si>
  <si>
    <t>Автор 294</t>
  </si>
  <si>
    <t>Автор 295</t>
  </si>
  <si>
    <t>Автор 296</t>
  </si>
  <si>
    <t>Автор 297</t>
  </si>
  <si>
    <t>Автор 298</t>
  </si>
  <si>
    <t>Автор 299</t>
  </si>
  <si>
    <t>Автор 300</t>
  </si>
  <si>
    <t>Автор 301</t>
  </si>
  <si>
    <t>Автор 302</t>
  </si>
  <si>
    <t>Автор 303</t>
  </si>
  <si>
    <t>Автор 304</t>
  </si>
  <si>
    <t>Автор 305</t>
  </si>
  <si>
    <t>Автор 306</t>
  </si>
  <si>
    <t>Автор 307</t>
  </si>
  <si>
    <t>Автор 308</t>
  </si>
  <si>
    <t>Автор 309</t>
  </si>
  <si>
    <t>Автор 310</t>
  </si>
  <si>
    <t>Автор 311</t>
  </si>
  <si>
    <t>Автор 312</t>
  </si>
  <si>
    <t>Автор 313</t>
  </si>
  <si>
    <t>Автор 314</t>
  </si>
  <si>
    <t>Автор 315</t>
  </si>
  <si>
    <t>Автор 316</t>
  </si>
  <si>
    <t>Автор 317</t>
  </si>
  <si>
    <t>Автор 318</t>
  </si>
  <si>
    <t>Автор 319</t>
  </si>
  <si>
    <t>Автор 320</t>
  </si>
  <si>
    <t>Автор 321</t>
  </si>
  <si>
    <t>Автор 322</t>
  </si>
  <si>
    <t>Автор 323</t>
  </si>
  <si>
    <t>Автор 324</t>
  </si>
  <si>
    <t>Автор 325</t>
  </si>
  <si>
    <t>Автор 326</t>
  </si>
  <si>
    <t>Автор 327</t>
  </si>
  <si>
    <t>Автор 328</t>
  </si>
  <si>
    <t>Автор 329</t>
  </si>
  <si>
    <t>Автор 330</t>
  </si>
  <si>
    <t>Автор 331</t>
  </si>
  <si>
    <t>Автор 332</t>
  </si>
  <si>
    <t>Автор 333</t>
  </si>
  <si>
    <t>Автор 334</t>
  </si>
  <si>
    <t>Автор 335</t>
  </si>
  <si>
    <t>Автор 336</t>
  </si>
  <si>
    <t>Автор 337</t>
  </si>
  <si>
    <t>Автор 338</t>
  </si>
  <si>
    <t>Автор 339</t>
  </si>
  <si>
    <t>Автор 340</t>
  </si>
  <si>
    <t>Автор 341</t>
  </si>
  <si>
    <t>Автор 342</t>
  </si>
  <si>
    <t>Автор 343</t>
  </si>
  <si>
    <t>Автор 344</t>
  </si>
  <si>
    <t>Автор 345</t>
  </si>
  <si>
    <t>Автор 346</t>
  </si>
  <si>
    <t>Автор 347</t>
  </si>
  <si>
    <t>Автор 348</t>
  </si>
  <si>
    <t>Автор 349</t>
  </si>
  <si>
    <t>Автор 350</t>
  </si>
  <si>
    <t>Автор 351</t>
  </si>
  <si>
    <t>Автор 352</t>
  </si>
  <si>
    <t>Автор 353</t>
  </si>
  <si>
    <t>Автор 354</t>
  </si>
  <si>
    <t>Автор 355</t>
  </si>
  <si>
    <t>Автор 356</t>
  </si>
  <si>
    <t>Автор 357</t>
  </si>
  <si>
    <t>Автор 358</t>
  </si>
  <si>
    <t>Автор 359</t>
  </si>
  <si>
    <t>Автор 360</t>
  </si>
  <si>
    <t>Автор 361</t>
  </si>
  <si>
    <t>Автор 362</t>
  </si>
  <si>
    <t>Автор 363</t>
  </si>
  <si>
    <t>Автор 364</t>
  </si>
  <si>
    <t>Автор 365</t>
  </si>
  <si>
    <t>Автор 366</t>
  </si>
  <si>
    <t>Автор 367</t>
  </si>
  <si>
    <t>Автор 368</t>
  </si>
  <si>
    <t>Автор 369</t>
  </si>
  <si>
    <t>Автор 370</t>
  </si>
  <si>
    <t>Автор 371</t>
  </si>
  <si>
    <t>Автор 372</t>
  </si>
  <si>
    <t>Автор 373</t>
  </si>
  <si>
    <t>Автор 374</t>
  </si>
  <si>
    <t>Автор 375</t>
  </si>
  <si>
    <t>Автор 376</t>
  </si>
  <si>
    <t>Автор 377</t>
  </si>
  <si>
    <t>Автор 378</t>
  </si>
  <si>
    <t>Автор 379</t>
  </si>
  <si>
    <t>Автор 380</t>
  </si>
  <si>
    <t>Автор 381</t>
  </si>
  <si>
    <t>Автор 382</t>
  </si>
  <si>
    <t>Автор 383</t>
  </si>
  <si>
    <t>Автор 384</t>
  </si>
  <si>
    <t>Автор 385</t>
  </si>
  <si>
    <t>Автор 386</t>
  </si>
  <si>
    <t>Автор 387</t>
  </si>
  <si>
    <t>Автор 388</t>
  </si>
  <si>
    <t>Автор 389</t>
  </si>
  <si>
    <t>Автор 390</t>
  </si>
  <si>
    <t>Автор 391</t>
  </si>
  <si>
    <t>Автор 392</t>
  </si>
  <si>
    <t>Автор 393</t>
  </si>
  <si>
    <t>Автор 394</t>
  </si>
  <si>
    <t>Автор 395</t>
  </si>
  <si>
    <t>Автор 396</t>
  </si>
  <si>
    <t>Автор 397</t>
  </si>
  <si>
    <t>Автор 398</t>
  </si>
  <si>
    <t>Автор 399</t>
  </si>
  <si>
    <t>Автор 400</t>
  </si>
  <si>
    <t>Автор 401</t>
  </si>
  <si>
    <t>Автор 402</t>
  </si>
  <si>
    <t>Автор 403</t>
  </si>
  <si>
    <t>Автор 404</t>
  </si>
  <si>
    <t>Автор 405</t>
  </si>
  <si>
    <t>Автор 406</t>
  </si>
  <si>
    <t>Автор 407</t>
  </si>
  <si>
    <t>Автор 408</t>
  </si>
  <si>
    <t>Автор 409</t>
  </si>
  <si>
    <t>Автор 410</t>
  </si>
  <si>
    <t>Автор 411</t>
  </si>
  <si>
    <t>Автор 412</t>
  </si>
  <si>
    <t>Автор 413</t>
  </si>
  <si>
    <t>Автор 414</t>
  </si>
  <si>
    <t>Автор 415</t>
  </si>
  <si>
    <t>Автор 416</t>
  </si>
  <si>
    <t>Автор 417</t>
  </si>
  <si>
    <t>Автор 418</t>
  </si>
  <si>
    <t>Автор 419</t>
  </si>
  <si>
    <t>Автор 420</t>
  </si>
  <si>
    <t>Автор 421</t>
  </si>
  <si>
    <t>Автор 422</t>
  </si>
  <si>
    <t>Автор 423</t>
  </si>
  <si>
    <t>Автор 424</t>
  </si>
  <si>
    <t>Автор 425</t>
  </si>
  <si>
    <t>Автор 426</t>
  </si>
  <si>
    <t>Автор 427</t>
  </si>
  <si>
    <t>Автор 428</t>
  </si>
  <si>
    <t>Автор 429</t>
  </si>
  <si>
    <t>Автор 430</t>
  </si>
  <si>
    <t>Автор 431</t>
  </si>
  <si>
    <t>Автор 432</t>
  </si>
  <si>
    <t>Автор 433</t>
  </si>
  <si>
    <t>Автор 434</t>
  </si>
  <si>
    <t>Автор 435</t>
  </si>
  <si>
    <t>Автор 436</t>
  </si>
  <si>
    <t>Автор 437</t>
  </si>
  <si>
    <t>Автор 438</t>
  </si>
  <si>
    <t>Автор 439</t>
  </si>
  <si>
    <t>Автор 440</t>
  </si>
  <si>
    <t>Автор 441</t>
  </si>
  <si>
    <t>Автор 442</t>
  </si>
  <si>
    <t>Автор 443</t>
  </si>
  <si>
    <t>Автор 444</t>
  </si>
  <si>
    <t>Автор 445</t>
  </si>
  <si>
    <t>Автор 446</t>
  </si>
  <si>
    <t>Автор 447</t>
  </si>
  <si>
    <t>Автор 448</t>
  </si>
  <si>
    <t>Автор 449</t>
  </si>
  <si>
    <t>Автор 450</t>
  </si>
  <si>
    <t>Автор 451</t>
  </si>
  <si>
    <t>Автор 452</t>
  </si>
  <si>
    <t>Автор 453</t>
  </si>
  <si>
    <t>Автор 454</t>
  </si>
  <si>
    <t>Автор 455</t>
  </si>
  <si>
    <t>Автор 456</t>
  </si>
  <si>
    <t>Автор 457</t>
  </si>
  <si>
    <t>Автор 458</t>
  </si>
  <si>
    <t>Автор 459</t>
  </si>
  <si>
    <t>Автор 460</t>
  </si>
  <si>
    <t>Автор 461</t>
  </si>
  <si>
    <t>Автор 462</t>
  </si>
  <si>
    <t>Автор 463</t>
  </si>
  <si>
    <t>Автор 464</t>
  </si>
  <si>
    <t>Автор 465</t>
  </si>
  <si>
    <t>Автор 466</t>
  </si>
  <si>
    <t>Автор 467</t>
  </si>
  <si>
    <t>Автор 468</t>
  </si>
  <si>
    <t>Автор 469</t>
  </si>
  <si>
    <t>Автор 470</t>
  </si>
  <si>
    <t>Автор 471</t>
  </si>
  <si>
    <t>Автор 472</t>
  </si>
  <si>
    <t>Автор 473</t>
  </si>
  <si>
    <t>Автор 474</t>
  </si>
  <si>
    <t>Автор 475</t>
  </si>
  <si>
    <t>Автор 476</t>
  </si>
  <si>
    <t>Автор 477</t>
  </si>
  <si>
    <t>Автор 478</t>
  </si>
  <si>
    <t>Автор 479</t>
  </si>
  <si>
    <t>Автор 480</t>
  </si>
  <si>
    <t>Автор 481</t>
  </si>
  <si>
    <t>Автор 482</t>
  </si>
  <si>
    <t>Автор 483</t>
  </si>
  <si>
    <t>Автор 484</t>
  </si>
  <si>
    <t>Автор 485</t>
  </si>
  <si>
    <t>Автор 486</t>
  </si>
  <si>
    <t>Автор 487</t>
  </si>
  <si>
    <t>Автор 488</t>
  </si>
  <si>
    <t>Автор 489</t>
  </si>
  <si>
    <t>Автор 490</t>
  </si>
  <si>
    <t>Автор 491</t>
  </si>
  <si>
    <t>Автор 492</t>
  </si>
  <si>
    <t>Автор 493</t>
  </si>
  <si>
    <t>Автор 494</t>
  </si>
  <si>
    <t>Автор 495</t>
  </si>
  <si>
    <t>Автор 496</t>
  </si>
  <si>
    <t>Автор 497</t>
  </si>
  <si>
    <t>Автор 498</t>
  </si>
  <si>
    <t>Автор 499</t>
  </si>
  <si>
    <t>Автор 500</t>
  </si>
  <si>
    <t>Кол-во подписчиков</t>
  </si>
  <si>
    <t>Большой</t>
  </si>
  <si>
    <t>от 500 тыс</t>
  </si>
  <si>
    <t>Средний</t>
  </si>
  <si>
    <t>100 – 500 тыс</t>
  </si>
  <si>
    <t>Маленький</t>
  </si>
  <si>
    <t>до 100 тыс</t>
  </si>
  <si>
    <t>Какой % подписчиков смотрит авторов</t>
  </si>
  <si>
    <t>Доля новых зрителей от общего числа просмотров</t>
  </si>
  <si>
    <t>Рекламный CPM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</si>
</sst>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 ₽&quot;"/>
    <numFmt numFmtId="165" formatCode="0.0%"/>
  </numFmts>
  <fonts count="12">
    <font>
      <sz val="10.0"/>
      <color theme="1"/>
      <name val="Calibri"/>
      <scheme val="minor"/>
    </font>
    <font>
      <sz val="10.0"/>
      <color theme="1"/>
      <name val="Calibri"/>
    </font>
    <font>
      <b/>
      <sz val="12.0"/>
      <color theme="1"/>
      <name val="Calibri"/>
    </font>
    <font>
      <b/>
      <sz val="10.0"/>
      <color rgb="FFFFFFFF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i/>
      <sz val="10.0"/>
      <color rgb="FF4A86E8"/>
      <name val="Calibri"/>
    </font>
    <font/>
    <font>
      <b/>
      <sz val="12.0"/>
      <color rgb="FFFFFFFF"/>
      <name val="Calibri"/>
    </font>
    <font>
      <sz val="10.0"/>
      <color theme="1"/>
      <name val="Arial"/>
    </font>
    <font>
      <i/>
      <sz val="10.0"/>
      <color rgb="FF666666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7"/>
        <bgColor theme="7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8">
    <border/>
    <border>
      <left/>
      <right/>
      <top/>
      <bottom/>
    </border>
    <border>
      <bottom style="thin">
        <color rgb="FFD9D9D9"/>
      </bottom>
    </border>
    <border>
      <top style="thin">
        <color rgb="FFD9D9D9"/>
      </top>
    </border>
    <border>
      <left style="thin">
        <color rgb="FF4A86E8"/>
      </left>
      <top style="thin">
        <color rgb="FF4A86E8"/>
      </top>
      <bottom style="thin">
        <color rgb="FF4A86E8"/>
      </bottom>
    </border>
    <border>
      <top style="thin">
        <color rgb="FF4A86E8"/>
      </top>
      <bottom style="thin">
        <color rgb="FF4A86E8"/>
      </bottom>
    </border>
    <border>
      <right style="thin">
        <color rgb="FF4A86E8"/>
      </right>
      <top style="thin">
        <color rgb="FF4A86E8"/>
      </top>
      <bottom style="thin">
        <color rgb="FF4A86E8"/>
      </bottom>
    </border>
    <border>
      <left/>
      <right/>
      <top/>
      <bottom style="thin">
        <color rgb="FFD9D9D9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 vertical="center"/>
    </xf>
    <xf borderId="3" fillId="0" fontId="1" numFmtId="0" xfId="0" applyBorder="1" applyFont="1"/>
    <xf borderId="0" fillId="0" fontId="4" numFmtId="0" xfId="0" applyFont="1"/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5" numFmtId="0" xfId="0" applyFont="1"/>
    <xf borderId="0" fillId="0" fontId="1" numFmtId="0" xfId="0" applyAlignment="1" applyFont="1">
      <alignment horizontal="left"/>
    </xf>
    <xf borderId="0" fillId="0" fontId="6" numFmtId="0" xfId="0" applyAlignment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5" fillId="0" fontId="7" numFmtId="0" xfId="0" applyBorder="1" applyFont="1"/>
    <xf borderId="6" fillId="0" fontId="7" numFmtId="0" xfId="0" applyBorder="1" applyFont="1"/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1" fillId="4" fontId="8" numFmtId="0" xfId="0" applyAlignment="1" applyBorder="1" applyFill="1" applyFont="1">
      <alignment horizontal="center" shrinkToFit="0" vertical="center" wrapText="1"/>
    </xf>
    <xf borderId="7" fillId="2" fontId="3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2" fillId="0" fontId="9" numFmtId="3" xfId="0" applyAlignment="1" applyBorder="1" applyFont="1" applyNumberFormat="1">
      <alignment horizontal="center" shrinkToFit="0" vertical="center" wrapText="1"/>
    </xf>
    <xf borderId="2" fillId="0" fontId="9" numFmtId="164" xfId="0" applyAlignment="1" applyBorder="1" applyFont="1" applyNumberFormat="1">
      <alignment horizontal="center" shrinkToFit="0" vertical="center" wrapText="1"/>
    </xf>
    <xf borderId="2" fillId="0" fontId="9" numFmtId="165" xfId="0" applyAlignment="1" applyBorder="1" applyFont="1" applyNumberFormat="1">
      <alignment horizontal="center" shrinkToFit="0" vertical="center" wrapText="1"/>
    </xf>
    <xf borderId="2" fillId="0" fontId="9" numFmtId="4" xfId="0" applyAlignment="1" applyBorder="1" applyFont="1" applyNumberFormat="1">
      <alignment horizontal="center" shrinkToFit="0" vertical="center" wrapText="1"/>
    </xf>
    <xf borderId="2" fillId="0" fontId="1" numFmtId="4" xfId="0" applyAlignment="1" applyBorder="1" applyFont="1" applyNumberFormat="1">
      <alignment horizontal="center" shrinkToFit="0" vertical="center" wrapText="1"/>
    </xf>
    <xf borderId="0" fillId="0" fontId="9" numFmtId="0" xfId="0" applyFont="1"/>
    <xf borderId="0" fillId="0" fontId="10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/>
    </xf>
    <xf borderId="0" fillId="0" fontId="1" numFmtId="0" xfId="0" applyAlignment="1" applyFont="1">
      <alignment shrinkToFit="0" wrapText="1"/>
    </xf>
    <xf borderId="0" fillId="0" fontId="1" numFmtId="4" xfId="0" applyAlignment="1" applyFont="1" applyNumberFormat="1">
      <alignment shrinkToFit="0" wrapText="1"/>
    </xf>
    <xf borderId="0" fillId="0" fontId="1" numFmtId="3" xfId="0" applyAlignment="1" applyFont="1" applyNumberFormat="1">
      <alignment shrinkToFit="0" wrapText="1"/>
    </xf>
    <xf borderId="1" fillId="2" fontId="3" numFmtId="4" xfId="0" applyAlignment="1" applyBorder="1" applyFont="1" applyNumberFormat="1">
      <alignment horizontal="center"/>
    </xf>
    <xf borderId="1" fillId="2" fontId="3" numFmtId="3" xfId="0" applyAlignment="1" applyBorder="1" applyFont="1" applyNumberFormat="1">
      <alignment horizontal="center"/>
    </xf>
    <xf borderId="1" fillId="5" fontId="3" numFmtId="0" xfId="0" applyAlignment="1" applyBorder="1" applyFill="1" applyFont="1">
      <alignment horizontal="center"/>
    </xf>
    <xf borderId="0" fillId="0" fontId="11" numFmtId="0" xfId="0" applyFont="1"/>
    <xf borderId="0" fillId="0" fontId="11" numFmtId="3" xfId="0" applyFont="1" applyNumberFormat="1"/>
    <xf borderId="0" fillId="0" fontId="1" numFmtId="3" xfId="0" applyFont="1" applyNumberFormat="1"/>
    <xf borderId="1" fillId="5" fontId="1" numFmtId="0" xfId="0" applyBorder="1" applyFont="1"/>
    <xf borderId="1" fillId="2" fontId="3" numFmtId="0" xfId="0" applyAlignment="1" applyBorder="1" applyFont="1">
      <alignment shrinkToFit="0" vertical="center" wrapText="1"/>
    </xf>
    <xf borderId="1" fillId="5" fontId="3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shrinkToFit="0" vertical="center" wrapText="1"/>
    </xf>
    <xf borderId="1" fillId="5" fontId="3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0" fillId="0" fontId="1" numFmtId="9" xfId="0" applyFont="1" applyNumberFormat="1"/>
    <xf borderId="0" fillId="0" fontId="1" numFmtId="165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Распределение по тематикам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Детский контент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'Задание 2.2'!$B$1:$J$1</c:f>
            </c:strRef>
          </c:cat>
          <c:val>
            <c:numRef>
              <c:f>'Задание 2.2'!$B$2:$J$2</c:f>
              <c:numCache/>
            </c:numRef>
          </c:val>
        </c:ser>
        <c:ser>
          <c:idx val="1"/>
          <c:order val="1"/>
          <c:tx>
            <c:v>Спорт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'Задание 2.2'!$B$1:$J$1</c:f>
            </c:strRef>
          </c:cat>
          <c:val>
            <c:numRef>
              <c:f>'Задание 2.2'!$B$3:$J$3</c:f>
              <c:numCache/>
            </c:numRef>
          </c:val>
        </c:ser>
        <c:ser>
          <c:idx val="2"/>
          <c:order val="2"/>
          <c:tx>
            <c:v>Игры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'Задание 2.2'!$B$1:$J$1</c:f>
            </c:strRef>
          </c:cat>
          <c:val>
            <c:numRef>
              <c:f>'Задание 2.2'!$B$4:$J$4</c:f>
              <c:numCache/>
            </c:numRef>
          </c:val>
        </c:ser>
        <c:ser>
          <c:idx val="3"/>
          <c:order val="3"/>
          <c:tx>
            <c:v>Еда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'Задание 2.2'!$B$1:$J$1</c:f>
            </c:strRef>
          </c:cat>
          <c:val>
            <c:numRef>
              <c:f>'Задание 2.2'!$B$5:$J$5</c:f>
              <c:numCache/>
            </c:numRef>
          </c:val>
        </c:ser>
        <c:ser>
          <c:idx val="4"/>
          <c:order val="4"/>
          <c:tx>
            <c:v>Развлечения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'Задание 2.2'!$B$1:$J$1</c:f>
            </c:strRef>
          </c:cat>
          <c:val>
            <c:numRef>
              <c:f>'Задание 2.2'!$B$6:$J$6</c:f>
              <c:numCache/>
            </c:numRef>
          </c:val>
        </c:ser>
        <c:ser>
          <c:idx val="5"/>
          <c:order val="5"/>
          <c:tx>
            <c:strRef>
              <c:f>'Задание 2.2'!$A$7</c:f>
            </c:strRef>
          </c:tx>
          <c:cat>
            <c:strRef>
              <c:f>'Задание 2.2'!$B$1:$J$1</c:f>
            </c:strRef>
          </c:cat>
          <c:val>
            <c:numRef>
              <c:f>'Задание 2.2'!$B$7:$J$7</c:f>
              <c:numCache/>
            </c:numRef>
          </c:val>
        </c:ser>
        <c:overlap val="100"/>
        <c:axId val="1309652411"/>
        <c:axId val="221534187"/>
      </c:barChart>
      <c:catAx>
        <c:axId val="1309652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1534187"/>
      </c:catAx>
      <c:valAx>
        <c:axId val="221534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965241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1066800</xdr:colOff>
      <xdr:row>8</xdr:row>
      <xdr:rowOff>95250</xdr:rowOff>
    </xdr:from>
    <xdr:ext cx="4391025" cy="26860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.14"/>
    <col customWidth="1" min="3" max="5" width="24.71"/>
    <col customWidth="1" min="6" max="6" width="34.0"/>
    <col customWidth="1" min="7" max="26" width="12.71"/>
  </cols>
  <sheetData>
    <row r="1" ht="13.5" customHeight="1">
      <c r="A1" s="1"/>
      <c r="B1" s="1"/>
      <c r="C1" s="1"/>
      <c r="D1" s="1"/>
      <c r="E1" s="1"/>
      <c r="F1" s="1"/>
    </row>
    <row r="2" ht="15.0" customHeight="1">
      <c r="A2" s="1"/>
      <c r="B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3" t="s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2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 t="s">
        <v>3</v>
      </c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  <c r="D7" s="1"/>
      <c r="E7" s="1"/>
      <c r="F7" s="1"/>
    </row>
    <row r="8" ht="12.75" customHeight="1">
      <c r="A8" s="1"/>
      <c r="B8" s="1"/>
      <c r="C8" s="4" t="s">
        <v>5</v>
      </c>
      <c r="D8" s="4" t="s">
        <v>6</v>
      </c>
      <c r="E8" s="4" t="s">
        <v>7</v>
      </c>
      <c r="F8" s="4" t="s">
        <v>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5" t="s">
        <v>9</v>
      </c>
      <c r="D9" s="5" t="s">
        <v>9</v>
      </c>
      <c r="E9" s="5" t="s">
        <v>9</v>
      </c>
      <c r="F9" s="5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5" t="s">
        <v>9</v>
      </c>
      <c r="D10" s="5" t="s">
        <v>9</v>
      </c>
      <c r="E10" s="5" t="s">
        <v>9</v>
      </c>
      <c r="F10" s="5" t="s">
        <v>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6"/>
      <c r="D11" s="6"/>
      <c r="E11" s="6"/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 t="s">
        <v>11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 t="s">
        <v>12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 t="s">
        <v>13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 t="s">
        <v>14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 t="s">
        <v>15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 t="s">
        <v>16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</row>
    <row r="20" ht="12.75" customHeight="1">
      <c r="A20" s="1"/>
      <c r="B20" s="1" t="s">
        <v>17</v>
      </c>
      <c r="C20" s="1" t="s">
        <v>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</row>
    <row r="22" ht="12.75" customHeight="1">
      <c r="A22" s="1"/>
      <c r="B22" s="1" t="s">
        <v>19</v>
      </c>
      <c r="C22" s="1" t="s">
        <v>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 t="s">
        <v>21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 t="s">
        <v>22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 t="s">
        <v>23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 t="s">
        <v>24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</row>
    <row r="28" ht="13.5" customHeight="1">
      <c r="A28" s="1"/>
      <c r="B28" s="1"/>
      <c r="C28" s="1"/>
      <c r="D28" s="1"/>
      <c r="E28" s="1"/>
      <c r="F28" s="1"/>
    </row>
    <row r="29" ht="13.5" customHeight="1">
      <c r="A29" s="1"/>
      <c r="B29" s="1"/>
      <c r="C29" s="1"/>
      <c r="D29" s="1"/>
      <c r="E29" s="1"/>
      <c r="F29" s="1"/>
    </row>
    <row r="30" ht="13.5" customHeight="1">
      <c r="A30" s="1"/>
      <c r="B30" s="1"/>
      <c r="C30" s="1"/>
      <c r="D30" s="1"/>
      <c r="E30" s="1"/>
      <c r="F30" s="1"/>
    </row>
    <row r="31" ht="13.5" customHeight="1">
      <c r="A31" s="1"/>
      <c r="B31" s="1"/>
      <c r="C31" s="1"/>
      <c r="D31" s="1"/>
      <c r="E31" s="1"/>
      <c r="F31" s="1"/>
    </row>
    <row r="32" ht="13.5" customHeight="1">
      <c r="A32" s="1"/>
      <c r="B32" s="1"/>
      <c r="C32" s="1"/>
      <c r="D32" s="1"/>
      <c r="E32" s="1"/>
      <c r="F32" s="1"/>
    </row>
    <row r="33" ht="13.5" customHeight="1">
      <c r="A33" s="1"/>
      <c r="B33" s="1"/>
      <c r="C33" s="1"/>
      <c r="D33" s="1"/>
      <c r="E33" s="1"/>
      <c r="F33" s="1"/>
    </row>
    <row r="34" ht="13.5" customHeight="1">
      <c r="A34" s="1"/>
      <c r="B34" s="1"/>
      <c r="C34" s="1"/>
      <c r="D34" s="1"/>
      <c r="E34" s="1"/>
      <c r="F34" s="1"/>
    </row>
    <row r="35" ht="13.5" customHeight="1">
      <c r="A35" s="1"/>
      <c r="B35" s="1"/>
      <c r="C35" s="1"/>
      <c r="D35" s="1"/>
      <c r="E35" s="1"/>
      <c r="F35" s="1"/>
    </row>
    <row r="36" ht="13.5" customHeight="1">
      <c r="A36" s="1"/>
      <c r="B36" s="1"/>
      <c r="C36" s="1"/>
      <c r="D36" s="1"/>
      <c r="E36" s="1"/>
      <c r="F36" s="1"/>
    </row>
    <row r="37" ht="13.5" customHeight="1">
      <c r="A37" s="1"/>
      <c r="B37" s="1"/>
      <c r="C37" s="1"/>
      <c r="D37" s="1"/>
      <c r="E37" s="1"/>
      <c r="F37" s="1"/>
    </row>
    <row r="38" ht="13.5" customHeight="1">
      <c r="A38" s="1"/>
      <c r="B38" s="1"/>
      <c r="C38" s="1"/>
      <c r="D38" s="1"/>
      <c r="E38" s="1"/>
      <c r="F38" s="1"/>
    </row>
    <row r="39" ht="13.5" customHeight="1">
      <c r="A39" s="1"/>
      <c r="B39" s="1"/>
      <c r="C39" s="1"/>
      <c r="D39" s="1"/>
      <c r="E39" s="1"/>
      <c r="F39" s="1"/>
    </row>
    <row r="40" ht="13.5" customHeight="1">
      <c r="A40" s="1"/>
      <c r="B40" s="1"/>
      <c r="C40" s="1"/>
      <c r="D40" s="1"/>
      <c r="E40" s="1"/>
      <c r="F40" s="1"/>
    </row>
    <row r="41" ht="13.5" customHeight="1">
      <c r="A41" s="1"/>
      <c r="B41" s="1"/>
      <c r="C41" s="1"/>
      <c r="D41" s="1"/>
      <c r="E41" s="1"/>
      <c r="F41" s="1"/>
    </row>
    <row r="42" ht="13.5" customHeight="1">
      <c r="A42" s="1"/>
      <c r="B42" s="1"/>
      <c r="C42" s="1"/>
      <c r="D42" s="1"/>
      <c r="E42" s="1"/>
      <c r="F42" s="1"/>
    </row>
    <row r="43" ht="13.5" customHeight="1">
      <c r="A43" s="1"/>
      <c r="B43" s="1"/>
      <c r="C43" s="1"/>
      <c r="D43" s="1"/>
      <c r="E43" s="1"/>
      <c r="F43" s="1"/>
    </row>
    <row r="44" ht="13.5" customHeight="1">
      <c r="A44" s="1"/>
      <c r="B44" s="1"/>
      <c r="C44" s="1"/>
      <c r="D44" s="1"/>
      <c r="E44" s="1"/>
      <c r="F44" s="1"/>
    </row>
    <row r="45" ht="13.5" customHeight="1">
      <c r="A45" s="1"/>
      <c r="B45" s="1"/>
      <c r="C45" s="1"/>
      <c r="D45" s="1"/>
      <c r="E45" s="1"/>
      <c r="F45" s="1"/>
    </row>
    <row r="46" ht="13.5" customHeight="1">
      <c r="A46" s="1"/>
      <c r="B46" s="1"/>
      <c r="C46" s="1"/>
      <c r="D46" s="1"/>
      <c r="E46" s="1"/>
      <c r="F46" s="1"/>
    </row>
    <row r="47" ht="13.5" customHeight="1">
      <c r="A47" s="1"/>
      <c r="B47" s="1"/>
      <c r="C47" s="1"/>
      <c r="D47" s="1"/>
      <c r="E47" s="1"/>
      <c r="F47" s="1"/>
    </row>
    <row r="48" ht="13.5" customHeight="1">
      <c r="A48" s="1"/>
      <c r="B48" s="1"/>
      <c r="C48" s="1"/>
      <c r="D48" s="1"/>
      <c r="E48" s="1"/>
      <c r="F48" s="1"/>
    </row>
    <row r="49" ht="13.5" customHeight="1">
      <c r="A49" s="1"/>
      <c r="B49" s="1"/>
      <c r="C49" s="1"/>
      <c r="D49" s="1"/>
      <c r="E49" s="1"/>
      <c r="F49" s="1"/>
    </row>
    <row r="50" ht="13.5" customHeight="1">
      <c r="A50" s="1"/>
      <c r="B50" s="1"/>
      <c r="C50" s="1"/>
      <c r="D50" s="1"/>
      <c r="E50" s="1"/>
      <c r="F50" s="1"/>
    </row>
    <row r="51" ht="13.5" customHeight="1">
      <c r="A51" s="1"/>
      <c r="B51" s="1"/>
      <c r="C51" s="1"/>
      <c r="D51" s="1"/>
      <c r="E51" s="1"/>
      <c r="F51" s="1"/>
    </row>
    <row r="52" ht="13.5" customHeight="1">
      <c r="A52" s="1"/>
      <c r="B52" s="1"/>
      <c r="C52" s="1"/>
      <c r="D52" s="1"/>
      <c r="E52" s="1"/>
      <c r="F52" s="1"/>
    </row>
    <row r="53" ht="13.5" customHeight="1">
      <c r="A53" s="1"/>
      <c r="B53" s="1"/>
      <c r="C53" s="1"/>
      <c r="D53" s="1"/>
      <c r="E53" s="1"/>
      <c r="F53" s="1"/>
    </row>
    <row r="54" ht="13.5" customHeight="1">
      <c r="A54" s="1"/>
      <c r="B54" s="1"/>
      <c r="C54" s="1"/>
      <c r="D54" s="1"/>
      <c r="E54" s="1"/>
      <c r="F54" s="1"/>
    </row>
    <row r="55" ht="13.5" customHeight="1">
      <c r="A55" s="1"/>
      <c r="B55" s="1"/>
      <c r="C55" s="1"/>
      <c r="D55" s="1"/>
      <c r="E55" s="1"/>
      <c r="F55" s="1"/>
    </row>
    <row r="56" ht="13.5" customHeight="1">
      <c r="A56" s="1"/>
      <c r="B56" s="1"/>
      <c r="C56" s="1"/>
      <c r="D56" s="1"/>
      <c r="E56" s="1"/>
      <c r="F56" s="1"/>
    </row>
    <row r="57" ht="13.5" customHeight="1">
      <c r="A57" s="1"/>
      <c r="B57" s="1"/>
      <c r="C57" s="1"/>
      <c r="D57" s="1"/>
      <c r="E57" s="1"/>
      <c r="F57" s="1"/>
    </row>
    <row r="58" ht="13.5" customHeight="1">
      <c r="A58" s="1"/>
      <c r="B58" s="1"/>
      <c r="C58" s="1"/>
      <c r="D58" s="1"/>
      <c r="E58" s="1"/>
      <c r="F58" s="1"/>
    </row>
    <row r="59" ht="13.5" customHeight="1">
      <c r="A59" s="1"/>
      <c r="B59" s="1"/>
      <c r="C59" s="1"/>
      <c r="D59" s="1"/>
      <c r="E59" s="1"/>
      <c r="F59" s="1"/>
    </row>
    <row r="60" ht="13.5" customHeight="1">
      <c r="A60" s="1"/>
      <c r="B60" s="1"/>
      <c r="C60" s="1"/>
      <c r="D60" s="1"/>
      <c r="E60" s="1"/>
      <c r="F60" s="1"/>
    </row>
    <row r="61" ht="13.5" customHeight="1">
      <c r="A61" s="1"/>
      <c r="B61" s="1"/>
      <c r="C61" s="1"/>
      <c r="D61" s="1"/>
      <c r="E61" s="1"/>
      <c r="F61" s="1"/>
    </row>
    <row r="62" ht="13.5" customHeight="1">
      <c r="A62" s="1"/>
      <c r="B62" s="1"/>
      <c r="C62" s="1"/>
      <c r="D62" s="1"/>
      <c r="E62" s="1"/>
      <c r="F62" s="1"/>
    </row>
    <row r="63" ht="13.5" customHeight="1">
      <c r="A63" s="1"/>
      <c r="B63" s="1"/>
      <c r="C63" s="1"/>
      <c r="D63" s="1"/>
      <c r="E63" s="1"/>
      <c r="F63" s="1"/>
    </row>
    <row r="64" ht="13.5" customHeight="1">
      <c r="A64" s="1"/>
      <c r="B64" s="1"/>
      <c r="C64" s="1"/>
      <c r="D64" s="1"/>
      <c r="E64" s="1"/>
      <c r="F64" s="1"/>
    </row>
    <row r="65" ht="13.5" customHeight="1">
      <c r="A65" s="1"/>
      <c r="B65" s="1"/>
      <c r="C65" s="1"/>
      <c r="D65" s="1"/>
      <c r="E65" s="1"/>
      <c r="F65" s="1"/>
    </row>
    <row r="66" ht="13.5" customHeight="1">
      <c r="A66" s="1"/>
      <c r="B66" s="1"/>
      <c r="C66" s="1"/>
      <c r="D66" s="1"/>
      <c r="E66" s="1"/>
      <c r="F66" s="1"/>
    </row>
    <row r="67" ht="13.5" customHeight="1">
      <c r="A67" s="1"/>
      <c r="B67" s="1"/>
      <c r="C67" s="1"/>
      <c r="D67" s="1"/>
      <c r="E67" s="1"/>
      <c r="F67" s="1"/>
    </row>
    <row r="68" ht="13.5" customHeight="1">
      <c r="A68" s="1"/>
      <c r="B68" s="1"/>
      <c r="C68" s="1"/>
      <c r="D68" s="1"/>
      <c r="E68" s="1"/>
      <c r="F68" s="1"/>
    </row>
    <row r="69" ht="13.5" customHeight="1">
      <c r="A69" s="1"/>
      <c r="B69" s="1"/>
      <c r="C69" s="1"/>
      <c r="D69" s="1"/>
      <c r="E69" s="1"/>
      <c r="F69" s="1"/>
    </row>
    <row r="70" ht="13.5" customHeight="1">
      <c r="A70" s="1"/>
      <c r="B70" s="1"/>
      <c r="C70" s="1"/>
      <c r="D70" s="1"/>
      <c r="E70" s="1"/>
      <c r="F70" s="1"/>
    </row>
    <row r="71" ht="13.5" customHeight="1">
      <c r="A71" s="1"/>
      <c r="B71" s="1"/>
      <c r="C71" s="1"/>
      <c r="D71" s="1"/>
      <c r="E71" s="1"/>
      <c r="F71" s="1"/>
    </row>
    <row r="72" ht="13.5" customHeight="1">
      <c r="A72" s="1"/>
      <c r="B72" s="1"/>
      <c r="C72" s="1"/>
      <c r="D72" s="1"/>
      <c r="E72" s="1"/>
      <c r="F72" s="1"/>
    </row>
    <row r="73" ht="13.5" customHeight="1">
      <c r="A73" s="1"/>
      <c r="B73" s="1"/>
      <c r="C73" s="1"/>
      <c r="D73" s="1"/>
      <c r="E73" s="1"/>
      <c r="F73" s="1"/>
    </row>
    <row r="74" ht="13.5" customHeight="1">
      <c r="A74" s="1"/>
      <c r="B74" s="1"/>
      <c r="C74" s="1"/>
      <c r="D74" s="1"/>
      <c r="E74" s="1"/>
      <c r="F74" s="1"/>
    </row>
    <row r="75" ht="13.5" customHeight="1">
      <c r="A75" s="1"/>
      <c r="B75" s="1"/>
      <c r="C75" s="1"/>
      <c r="D75" s="1"/>
      <c r="E75" s="1"/>
      <c r="F75" s="1"/>
    </row>
    <row r="76" ht="13.5" customHeight="1">
      <c r="A76" s="1"/>
      <c r="B76" s="1"/>
      <c r="C76" s="1"/>
      <c r="D76" s="1"/>
      <c r="E76" s="1"/>
      <c r="F76" s="1"/>
    </row>
    <row r="77" ht="13.5" customHeight="1">
      <c r="A77" s="1"/>
      <c r="B77" s="1"/>
      <c r="C77" s="1"/>
      <c r="D77" s="1"/>
      <c r="E77" s="1"/>
      <c r="F77" s="1"/>
    </row>
    <row r="78" ht="13.5" customHeight="1">
      <c r="A78" s="1"/>
      <c r="B78" s="1"/>
      <c r="C78" s="1"/>
      <c r="D78" s="1"/>
      <c r="E78" s="1"/>
      <c r="F78" s="1"/>
    </row>
    <row r="79" ht="13.5" customHeight="1">
      <c r="A79" s="1"/>
      <c r="B79" s="1"/>
      <c r="C79" s="1"/>
      <c r="D79" s="1"/>
      <c r="E79" s="1"/>
      <c r="F79" s="1"/>
    </row>
    <row r="80" ht="13.5" customHeight="1">
      <c r="A80" s="1"/>
      <c r="B80" s="1"/>
      <c r="C80" s="1"/>
      <c r="D80" s="1"/>
      <c r="E80" s="1"/>
      <c r="F80" s="1"/>
    </row>
    <row r="81" ht="13.5" customHeight="1">
      <c r="A81" s="1"/>
      <c r="B81" s="1"/>
      <c r="C81" s="1"/>
      <c r="D81" s="1"/>
      <c r="E81" s="1"/>
      <c r="F81" s="1"/>
    </row>
    <row r="82" ht="13.5" customHeight="1">
      <c r="A82" s="1"/>
      <c r="B82" s="1"/>
      <c r="C82" s="1"/>
      <c r="D82" s="1"/>
      <c r="E82" s="1"/>
      <c r="F82" s="1"/>
    </row>
    <row r="83" ht="13.5" customHeight="1">
      <c r="A83" s="1"/>
      <c r="B83" s="1"/>
      <c r="C83" s="1"/>
      <c r="D83" s="1"/>
      <c r="E83" s="1"/>
      <c r="F83" s="1"/>
    </row>
    <row r="84" ht="13.5" customHeight="1">
      <c r="A84" s="1"/>
      <c r="B84" s="1"/>
      <c r="C84" s="1"/>
      <c r="D84" s="1"/>
      <c r="E84" s="1"/>
      <c r="F84" s="1"/>
    </row>
    <row r="85" ht="13.5" customHeight="1">
      <c r="A85" s="1"/>
      <c r="B85" s="1"/>
      <c r="C85" s="1"/>
      <c r="D85" s="1"/>
      <c r="E85" s="1"/>
      <c r="F85" s="1"/>
    </row>
    <row r="86" ht="13.5" customHeight="1">
      <c r="A86" s="1"/>
      <c r="B86" s="1"/>
      <c r="C86" s="1"/>
      <c r="D86" s="1"/>
      <c r="E86" s="1"/>
      <c r="F86" s="1"/>
    </row>
    <row r="87" ht="13.5" customHeight="1">
      <c r="A87" s="1"/>
      <c r="B87" s="1"/>
      <c r="C87" s="1"/>
      <c r="D87" s="1"/>
      <c r="E87" s="1"/>
      <c r="F87" s="1"/>
    </row>
    <row r="88" ht="13.5" customHeight="1">
      <c r="A88" s="1"/>
      <c r="B88" s="1"/>
      <c r="C88" s="1"/>
      <c r="D88" s="1"/>
      <c r="E88" s="1"/>
      <c r="F88" s="1"/>
    </row>
    <row r="89" ht="13.5" customHeight="1">
      <c r="A89" s="1"/>
      <c r="B89" s="1"/>
      <c r="C89" s="1"/>
      <c r="D89" s="1"/>
      <c r="E89" s="1"/>
      <c r="F89" s="1"/>
    </row>
    <row r="90" ht="13.5" customHeight="1">
      <c r="A90" s="1"/>
      <c r="B90" s="1"/>
      <c r="C90" s="1"/>
      <c r="D90" s="1"/>
      <c r="E90" s="1"/>
      <c r="F90" s="1"/>
    </row>
    <row r="91" ht="13.5" customHeight="1">
      <c r="A91" s="1"/>
      <c r="B91" s="1"/>
      <c r="C91" s="1"/>
      <c r="D91" s="1"/>
      <c r="E91" s="1"/>
      <c r="F91" s="1"/>
    </row>
    <row r="92" ht="13.5" customHeight="1">
      <c r="A92" s="1"/>
      <c r="B92" s="1"/>
      <c r="C92" s="1"/>
      <c r="D92" s="1"/>
      <c r="E92" s="1"/>
      <c r="F92" s="1"/>
    </row>
    <row r="93" ht="13.5" customHeight="1">
      <c r="A93" s="1"/>
      <c r="B93" s="1"/>
      <c r="C93" s="1"/>
      <c r="D93" s="1"/>
      <c r="E93" s="1"/>
      <c r="F93" s="1"/>
    </row>
    <row r="94" ht="13.5" customHeight="1">
      <c r="A94" s="1"/>
      <c r="B94" s="1"/>
      <c r="C94" s="1"/>
      <c r="D94" s="1"/>
      <c r="E94" s="1"/>
      <c r="F94" s="1"/>
    </row>
    <row r="95" ht="13.5" customHeight="1">
      <c r="A95" s="1"/>
      <c r="B95" s="1"/>
      <c r="C95" s="1"/>
      <c r="D95" s="1"/>
      <c r="E95" s="1"/>
      <c r="F95" s="1"/>
    </row>
    <row r="96" ht="13.5" customHeight="1">
      <c r="A96" s="1"/>
      <c r="B96" s="1"/>
      <c r="C96" s="1"/>
      <c r="D96" s="1"/>
      <c r="E96" s="1"/>
      <c r="F96" s="1"/>
    </row>
    <row r="97" ht="13.5" customHeight="1">
      <c r="A97" s="1"/>
      <c r="B97" s="1"/>
      <c r="C97" s="1"/>
      <c r="D97" s="1"/>
      <c r="E97" s="1"/>
      <c r="F97" s="1"/>
    </row>
    <row r="98" ht="13.5" customHeight="1">
      <c r="A98" s="1"/>
      <c r="B98" s="1"/>
      <c r="C98" s="1"/>
      <c r="D98" s="1"/>
      <c r="E98" s="1"/>
      <c r="F98" s="1"/>
    </row>
    <row r="99" ht="13.5" customHeight="1">
      <c r="A99" s="1"/>
      <c r="B99" s="1"/>
      <c r="C99" s="1"/>
      <c r="D99" s="1"/>
      <c r="E99" s="1"/>
      <c r="F99" s="1"/>
    </row>
    <row r="100" ht="13.5" customHeight="1">
      <c r="A100" s="1"/>
      <c r="B100" s="1"/>
      <c r="C100" s="1"/>
      <c r="D100" s="1"/>
      <c r="E100" s="1"/>
      <c r="F100" s="1"/>
    </row>
    <row r="101" ht="13.5" customHeight="1">
      <c r="A101" s="1"/>
      <c r="B101" s="1"/>
      <c r="C101" s="1"/>
      <c r="D101" s="1"/>
      <c r="E101" s="1"/>
      <c r="F101" s="1"/>
    </row>
    <row r="102" ht="13.5" customHeight="1">
      <c r="A102" s="1"/>
      <c r="B102" s="1"/>
      <c r="C102" s="1"/>
      <c r="D102" s="1"/>
      <c r="E102" s="1"/>
      <c r="F102" s="1"/>
    </row>
    <row r="103" ht="13.5" customHeight="1">
      <c r="A103" s="1"/>
      <c r="B103" s="1"/>
      <c r="C103" s="1"/>
      <c r="D103" s="1"/>
      <c r="E103" s="1"/>
      <c r="F103" s="1"/>
    </row>
    <row r="104" ht="13.5" customHeight="1">
      <c r="A104" s="1"/>
      <c r="B104" s="1"/>
      <c r="C104" s="1"/>
      <c r="D104" s="1"/>
      <c r="E104" s="1"/>
      <c r="F104" s="1"/>
    </row>
    <row r="105" ht="13.5" customHeight="1">
      <c r="A105" s="1"/>
      <c r="B105" s="1"/>
      <c r="C105" s="1"/>
      <c r="D105" s="1"/>
      <c r="E105" s="1"/>
      <c r="F105" s="1"/>
    </row>
    <row r="106" ht="13.5" customHeight="1">
      <c r="A106" s="1"/>
      <c r="B106" s="1"/>
      <c r="C106" s="1"/>
      <c r="D106" s="1"/>
      <c r="E106" s="1"/>
      <c r="F106" s="1"/>
    </row>
    <row r="107" ht="13.5" customHeight="1">
      <c r="A107" s="1"/>
      <c r="B107" s="1"/>
      <c r="C107" s="1"/>
      <c r="D107" s="1"/>
      <c r="E107" s="1"/>
      <c r="F107" s="1"/>
    </row>
    <row r="108" ht="13.5" customHeight="1">
      <c r="A108" s="1"/>
      <c r="B108" s="1"/>
      <c r="C108" s="1"/>
      <c r="D108" s="1"/>
      <c r="E108" s="1"/>
      <c r="F108" s="1"/>
    </row>
    <row r="109" ht="13.5" customHeight="1">
      <c r="A109" s="1"/>
      <c r="B109" s="1"/>
      <c r="C109" s="1"/>
      <c r="D109" s="1"/>
      <c r="E109" s="1"/>
      <c r="F109" s="1"/>
    </row>
    <row r="110" ht="13.5" customHeight="1">
      <c r="A110" s="1"/>
      <c r="B110" s="1"/>
      <c r="C110" s="1"/>
      <c r="D110" s="1"/>
      <c r="E110" s="1"/>
      <c r="F110" s="1"/>
    </row>
    <row r="111" ht="13.5" customHeight="1">
      <c r="A111" s="1"/>
      <c r="B111" s="1"/>
      <c r="C111" s="1"/>
      <c r="D111" s="1"/>
      <c r="E111" s="1"/>
      <c r="F111" s="1"/>
    </row>
    <row r="112" ht="13.5" customHeight="1">
      <c r="A112" s="1"/>
      <c r="B112" s="1"/>
      <c r="C112" s="1"/>
      <c r="D112" s="1"/>
      <c r="E112" s="1"/>
      <c r="F112" s="1"/>
    </row>
    <row r="113" ht="13.5" customHeight="1">
      <c r="A113" s="1"/>
      <c r="B113" s="1"/>
      <c r="C113" s="1"/>
      <c r="D113" s="1"/>
      <c r="E113" s="1"/>
      <c r="F113" s="1"/>
    </row>
    <row r="114" ht="13.5" customHeight="1">
      <c r="A114" s="1"/>
      <c r="B114" s="1"/>
      <c r="C114" s="1"/>
      <c r="D114" s="1"/>
      <c r="E114" s="1"/>
      <c r="F114" s="1"/>
    </row>
    <row r="115" ht="13.5" customHeight="1">
      <c r="A115" s="1"/>
      <c r="B115" s="1"/>
      <c r="C115" s="1"/>
      <c r="D115" s="1"/>
      <c r="E115" s="1"/>
      <c r="F115" s="1"/>
    </row>
    <row r="116" ht="13.5" customHeight="1">
      <c r="A116" s="1"/>
      <c r="B116" s="1"/>
      <c r="C116" s="1"/>
      <c r="D116" s="1"/>
      <c r="E116" s="1"/>
      <c r="F116" s="1"/>
    </row>
    <row r="117" ht="13.5" customHeight="1">
      <c r="A117" s="1"/>
      <c r="B117" s="1"/>
      <c r="C117" s="1"/>
      <c r="D117" s="1"/>
      <c r="E117" s="1"/>
      <c r="F117" s="1"/>
    </row>
    <row r="118" ht="13.5" customHeight="1">
      <c r="A118" s="1"/>
      <c r="B118" s="1"/>
      <c r="C118" s="1"/>
      <c r="D118" s="1"/>
      <c r="E118" s="1"/>
      <c r="F118" s="1"/>
    </row>
    <row r="119" ht="13.5" customHeight="1">
      <c r="A119" s="1"/>
      <c r="B119" s="1"/>
      <c r="C119" s="1"/>
      <c r="D119" s="1"/>
      <c r="E119" s="1"/>
      <c r="F119" s="1"/>
    </row>
    <row r="120" ht="13.5" customHeight="1">
      <c r="A120" s="1"/>
      <c r="B120" s="1"/>
      <c r="C120" s="1"/>
      <c r="D120" s="1"/>
      <c r="E120" s="1"/>
      <c r="F120" s="1"/>
    </row>
    <row r="121" ht="13.5" customHeight="1">
      <c r="A121" s="1"/>
      <c r="B121" s="1"/>
      <c r="C121" s="1"/>
      <c r="D121" s="1"/>
      <c r="E121" s="1"/>
      <c r="F121" s="1"/>
    </row>
    <row r="122" ht="13.5" customHeight="1">
      <c r="A122" s="1"/>
      <c r="B122" s="1"/>
      <c r="C122" s="1"/>
      <c r="D122" s="1"/>
      <c r="E122" s="1"/>
      <c r="F122" s="1"/>
    </row>
    <row r="123" ht="13.5" customHeight="1">
      <c r="A123" s="1"/>
      <c r="B123" s="1"/>
      <c r="C123" s="1"/>
      <c r="D123" s="1"/>
      <c r="E123" s="1"/>
      <c r="F123" s="1"/>
    </row>
    <row r="124" ht="13.5" customHeight="1">
      <c r="A124" s="1"/>
      <c r="B124" s="1"/>
      <c r="C124" s="1"/>
      <c r="D124" s="1"/>
      <c r="E124" s="1"/>
      <c r="F124" s="1"/>
    </row>
    <row r="125" ht="13.5" customHeight="1">
      <c r="A125" s="1"/>
      <c r="B125" s="1"/>
      <c r="C125" s="1"/>
      <c r="D125" s="1"/>
      <c r="E125" s="1"/>
      <c r="F125" s="1"/>
    </row>
    <row r="126" ht="13.5" customHeight="1">
      <c r="A126" s="1"/>
      <c r="B126" s="1"/>
      <c r="C126" s="1"/>
      <c r="D126" s="1"/>
      <c r="E126" s="1"/>
      <c r="F126" s="1"/>
    </row>
    <row r="127" ht="13.5" customHeight="1">
      <c r="A127" s="1"/>
      <c r="B127" s="1"/>
      <c r="C127" s="1"/>
      <c r="D127" s="1"/>
      <c r="E127" s="1"/>
      <c r="F127" s="1"/>
    </row>
    <row r="128" ht="13.5" customHeight="1">
      <c r="A128" s="1"/>
      <c r="B128" s="1"/>
      <c r="C128" s="1"/>
      <c r="D128" s="1"/>
      <c r="E128" s="1"/>
      <c r="F128" s="1"/>
    </row>
    <row r="129" ht="13.5" customHeight="1">
      <c r="A129" s="1"/>
      <c r="B129" s="1"/>
      <c r="C129" s="1"/>
      <c r="D129" s="1"/>
      <c r="E129" s="1"/>
      <c r="F129" s="1"/>
    </row>
    <row r="130" ht="13.5" customHeight="1">
      <c r="A130" s="1"/>
      <c r="B130" s="1"/>
      <c r="C130" s="1"/>
      <c r="D130" s="1"/>
      <c r="E130" s="1"/>
      <c r="F130" s="1"/>
    </row>
    <row r="131" ht="13.5" customHeight="1">
      <c r="A131" s="1"/>
      <c r="B131" s="1"/>
      <c r="C131" s="1"/>
      <c r="D131" s="1"/>
      <c r="E131" s="1"/>
      <c r="F131" s="1"/>
    </row>
    <row r="132" ht="13.5" customHeight="1">
      <c r="A132" s="1"/>
      <c r="B132" s="1"/>
      <c r="C132" s="1"/>
      <c r="D132" s="1"/>
      <c r="E132" s="1"/>
      <c r="F132" s="1"/>
    </row>
    <row r="133" ht="13.5" customHeight="1">
      <c r="A133" s="1"/>
      <c r="B133" s="1"/>
      <c r="C133" s="1"/>
      <c r="D133" s="1"/>
      <c r="E133" s="1"/>
      <c r="F133" s="1"/>
    </row>
    <row r="134" ht="13.5" customHeight="1">
      <c r="A134" s="1"/>
      <c r="B134" s="1"/>
      <c r="C134" s="1"/>
      <c r="D134" s="1"/>
      <c r="E134" s="1"/>
      <c r="F134" s="1"/>
    </row>
    <row r="135" ht="13.5" customHeight="1">
      <c r="A135" s="1"/>
      <c r="B135" s="1"/>
      <c r="C135" s="1"/>
      <c r="D135" s="1"/>
      <c r="E135" s="1"/>
      <c r="F135" s="1"/>
    </row>
    <row r="136" ht="13.5" customHeight="1">
      <c r="A136" s="1"/>
      <c r="B136" s="1"/>
      <c r="C136" s="1"/>
      <c r="D136" s="1"/>
      <c r="E136" s="1"/>
      <c r="F136" s="1"/>
    </row>
    <row r="137" ht="13.5" customHeight="1">
      <c r="A137" s="1"/>
      <c r="B137" s="1"/>
      <c r="C137" s="1"/>
      <c r="D137" s="1"/>
      <c r="E137" s="1"/>
      <c r="F137" s="1"/>
    </row>
    <row r="138" ht="13.5" customHeight="1">
      <c r="A138" s="1"/>
      <c r="B138" s="1"/>
      <c r="C138" s="1"/>
      <c r="D138" s="1"/>
      <c r="E138" s="1"/>
      <c r="F138" s="1"/>
    </row>
    <row r="139" ht="13.5" customHeight="1">
      <c r="A139" s="1"/>
      <c r="B139" s="1"/>
      <c r="C139" s="1"/>
      <c r="D139" s="1"/>
      <c r="E139" s="1"/>
      <c r="F139" s="1"/>
    </row>
    <row r="140" ht="13.5" customHeight="1">
      <c r="A140" s="1"/>
      <c r="B140" s="1"/>
      <c r="C140" s="1"/>
      <c r="D140" s="1"/>
      <c r="E140" s="1"/>
      <c r="F140" s="1"/>
    </row>
    <row r="141" ht="13.5" customHeight="1">
      <c r="A141" s="1"/>
      <c r="B141" s="1"/>
      <c r="C141" s="1"/>
      <c r="D141" s="1"/>
      <c r="E141" s="1"/>
      <c r="F141" s="1"/>
    </row>
    <row r="142" ht="13.5" customHeight="1">
      <c r="A142" s="1"/>
      <c r="B142" s="1"/>
      <c r="C142" s="1"/>
      <c r="D142" s="1"/>
      <c r="E142" s="1"/>
      <c r="F142" s="1"/>
    </row>
    <row r="143" ht="13.5" customHeight="1">
      <c r="A143" s="1"/>
      <c r="B143" s="1"/>
      <c r="C143" s="1"/>
      <c r="D143" s="1"/>
      <c r="E143" s="1"/>
      <c r="F143" s="1"/>
    </row>
    <row r="144" ht="13.5" customHeight="1">
      <c r="A144" s="1"/>
      <c r="B144" s="1"/>
      <c r="C144" s="1"/>
      <c r="D144" s="1"/>
      <c r="E144" s="1"/>
      <c r="F144" s="1"/>
    </row>
    <row r="145" ht="13.5" customHeight="1">
      <c r="A145" s="1"/>
      <c r="B145" s="1"/>
      <c r="C145" s="1"/>
      <c r="D145" s="1"/>
      <c r="E145" s="1"/>
      <c r="F145" s="1"/>
    </row>
    <row r="146" ht="13.5" customHeight="1">
      <c r="A146" s="1"/>
      <c r="B146" s="1"/>
      <c r="C146" s="1"/>
      <c r="D146" s="1"/>
      <c r="E146" s="1"/>
      <c r="F146" s="1"/>
    </row>
    <row r="147" ht="13.5" customHeight="1">
      <c r="A147" s="1"/>
      <c r="B147" s="1"/>
      <c r="C147" s="1"/>
      <c r="D147" s="1"/>
      <c r="E147" s="1"/>
      <c r="F147" s="1"/>
    </row>
    <row r="148" ht="13.5" customHeight="1">
      <c r="A148" s="1"/>
      <c r="B148" s="1"/>
      <c r="C148" s="1"/>
      <c r="D148" s="1"/>
      <c r="E148" s="1"/>
      <c r="F148" s="1"/>
    </row>
    <row r="149" ht="13.5" customHeight="1">
      <c r="A149" s="1"/>
      <c r="B149" s="1"/>
      <c r="C149" s="1"/>
      <c r="D149" s="1"/>
      <c r="E149" s="1"/>
      <c r="F149" s="1"/>
    </row>
    <row r="150" ht="13.5" customHeight="1">
      <c r="A150" s="1"/>
      <c r="B150" s="1"/>
      <c r="C150" s="1"/>
      <c r="D150" s="1"/>
      <c r="E150" s="1"/>
      <c r="F150" s="1"/>
    </row>
    <row r="151" ht="13.5" customHeight="1">
      <c r="A151" s="1"/>
      <c r="B151" s="1"/>
      <c r="C151" s="1"/>
      <c r="D151" s="1"/>
      <c r="E151" s="1"/>
      <c r="F151" s="1"/>
    </row>
    <row r="152" ht="13.5" customHeight="1">
      <c r="A152" s="1"/>
      <c r="B152" s="1"/>
      <c r="C152" s="1"/>
      <c r="D152" s="1"/>
      <c r="E152" s="1"/>
      <c r="F152" s="1"/>
    </row>
    <row r="153" ht="13.5" customHeight="1">
      <c r="A153" s="1"/>
      <c r="B153" s="1"/>
      <c r="C153" s="1"/>
      <c r="D153" s="1"/>
      <c r="E153" s="1"/>
      <c r="F153" s="1"/>
    </row>
    <row r="154" ht="13.5" customHeight="1">
      <c r="A154" s="1"/>
      <c r="B154" s="1"/>
      <c r="C154" s="1"/>
      <c r="D154" s="1"/>
      <c r="E154" s="1"/>
      <c r="F154" s="1"/>
    </row>
    <row r="155" ht="13.5" customHeight="1">
      <c r="A155" s="1"/>
      <c r="B155" s="1"/>
      <c r="C155" s="1"/>
      <c r="D155" s="1"/>
      <c r="E155" s="1"/>
      <c r="F155" s="1"/>
    </row>
    <row r="156" ht="13.5" customHeight="1">
      <c r="A156" s="1"/>
      <c r="B156" s="1"/>
      <c r="C156" s="1"/>
      <c r="D156" s="1"/>
      <c r="E156" s="1"/>
      <c r="F156" s="1"/>
    </row>
    <row r="157" ht="13.5" customHeight="1">
      <c r="A157" s="1"/>
      <c r="B157" s="1"/>
      <c r="C157" s="1"/>
      <c r="D157" s="1"/>
      <c r="E157" s="1"/>
      <c r="F157" s="1"/>
    </row>
    <row r="158" ht="13.5" customHeight="1">
      <c r="A158" s="1"/>
      <c r="B158" s="1"/>
      <c r="C158" s="1"/>
      <c r="D158" s="1"/>
      <c r="E158" s="1"/>
      <c r="F158" s="1"/>
    </row>
    <row r="159" ht="13.5" customHeight="1">
      <c r="A159" s="1"/>
      <c r="B159" s="1"/>
      <c r="C159" s="1"/>
      <c r="D159" s="1"/>
      <c r="E159" s="1"/>
      <c r="F159" s="1"/>
    </row>
    <row r="160" ht="13.5" customHeight="1">
      <c r="A160" s="1"/>
      <c r="B160" s="1"/>
      <c r="C160" s="1"/>
      <c r="D160" s="1"/>
      <c r="E160" s="1"/>
      <c r="F160" s="1"/>
    </row>
    <row r="161" ht="13.5" customHeight="1">
      <c r="A161" s="1"/>
      <c r="B161" s="1"/>
      <c r="C161" s="1"/>
      <c r="D161" s="1"/>
      <c r="E161" s="1"/>
      <c r="F161" s="1"/>
    </row>
    <row r="162" ht="13.5" customHeight="1">
      <c r="A162" s="1"/>
      <c r="B162" s="1"/>
      <c r="C162" s="1"/>
      <c r="D162" s="1"/>
      <c r="E162" s="1"/>
      <c r="F162" s="1"/>
    </row>
    <row r="163" ht="13.5" customHeight="1">
      <c r="A163" s="1"/>
      <c r="B163" s="1"/>
      <c r="C163" s="1"/>
      <c r="D163" s="1"/>
      <c r="E163" s="1"/>
      <c r="F163" s="1"/>
    </row>
    <row r="164" ht="13.5" customHeight="1">
      <c r="A164" s="1"/>
      <c r="B164" s="1"/>
      <c r="C164" s="1"/>
      <c r="D164" s="1"/>
      <c r="E164" s="1"/>
      <c r="F164" s="1"/>
    </row>
    <row r="165" ht="13.5" customHeight="1">
      <c r="A165" s="1"/>
      <c r="B165" s="1"/>
      <c r="C165" s="1"/>
      <c r="D165" s="1"/>
      <c r="E165" s="1"/>
      <c r="F165" s="1"/>
    </row>
    <row r="166" ht="13.5" customHeight="1">
      <c r="A166" s="1"/>
      <c r="B166" s="1"/>
      <c r="C166" s="1"/>
      <c r="D166" s="1"/>
      <c r="E166" s="1"/>
      <c r="F166" s="1"/>
    </row>
    <row r="167" ht="13.5" customHeight="1">
      <c r="A167" s="1"/>
      <c r="B167" s="1"/>
      <c r="C167" s="1"/>
      <c r="D167" s="1"/>
      <c r="E167" s="1"/>
      <c r="F167" s="1"/>
    </row>
    <row r="168" ht="13.5" customHeight="1">
      <c r="A168" s="1"/>
      <c r="B168" s="1"/>
      <c r="C168" s="1"/>
      <c r="D168" s="1"/>
      <c r="E168" s="1"/>
      <c r="F168" s="1"/>
    </row>
    <row r="169" ht="13.5" customHeight="1">
      <c r="A169" s="1"/>
      <c r="B169" s="1"/>
      <c r="C169" s="1"/>
      <c r="D169" s="1"/>
      <c r="E169" s="1"/>
      <c r="F169" s="1"/>
    </row>
    <row r="170" ht="13.5" customHeight="1">
      <c r="A170" s="1"/>
      <c r="B170" s="1"/>
      <c r="C170" s="1"/>
      <c r="D170" s="1"/>
      <c r="E170" s="1"/>
      <c r="F170" s="1"/>
    </row>
    <row r="171" ht="13.5" customHeight="1">
      <c r="A171" s="1"/>
      <c r="B171" s="1"/>
      <c r="C171" s="1"/>
      <c r="D171" s="1"/>
      <c r="E171" s="1"/>
      <c r="F171" s="1"/>
    </row>
    <row r="172" ht="13.5" customHeight="1">
      <c r="A172" s="1"/>
      <c r="B172" s="1"/>
      <c r="C172" s="1"/>
      <c r="D172" s="1"/>
      <c r="E172" s="1"/>
      <c r="F172" s="1"/>
    </row>
    <row r="173" ht="13.5" customHeight="1">
      <c r="A173" s="1"/>
      <c r="B173" s="1"/>
      <c r="C173" s="1"/>
      <c r="D173" s="1"/>
      <c r="E173" s="1"/>
      <c r="F173" s="1"/>
    </row>
    <row r="174" ht="13.5" customHeight="1">
      <c r="A174" s="1"/>
      <c r="B174" s="1"/>
      <c r="C174" s="1"/>
      <c r="D174" s="1"/>
      <c r="E174" s="1"/>
      <c r="F174" s="1"/>
    </row>
    <row r="175" ht="13.5" customHeight="1">
      <c r="A175" s="1"/>
      <c r="B175" s="1"/>
      <c r="C175" s="1"/>
      <c r="D175" s="1"/>
      <c r="E175" s="1"/>
      <c r="F175" s="1"/>
    </row>
    <row r="176" ht="13.5" customHeight="1">
      <c r="A176" s="1"/>
      <c r="B176" s="1"/>
      <c r="C176" s="1"/>
      <c r="D176" s="1"/>
      <c r="E176" s="1"/>
      <c r="F176" s="1"/>
    </row>
    <row r="177" ht="13.5" customHeight="1">
      <c r="A177" s="1"/>
      <c r="B177" s="1"/>
      <c r="C177" s="1"/>
      <c r="D177" s="1"/>
      <c r="E177" s="1"/>
      <c r="F177" s="1"/>
    </row>
    <row r="178" ht="13.5" customHeight="1">
      <c r="A178" s="1"/>
      <c r="B178" s="1"/>
      <c r="C178" s="1"/>
      <c r="D178" s="1"/>
      <c r="E178" s="1"/>
      <c r="F178" s="1"/>
    </row>
    <row r="179" ht="13.5" customHeight="1">
      <c r="A179" s="1"/>
      <c r="B179" s="1"/>
      <c r="C179" s="1"/>
      <c r="D179" s="1"/>
      <c r="E179" s="1"/>
      <c r="F179" s="1"/>
    </row>
    <row r="180" ht="13.5" customHeight="1">
      <c r="A180" s="1"/>
      <c r="B180" s="1"/>
      <c r="C180" s="1"/>
      <c r="D180" s="1"/>
      <c r="E180" s="1"/>
      <c r="F180" s="1"/>
    </row>
    <row r="181" ht="13.5" customHeight="1">
      <c r="A181" s="1"/>
      <c r="B181" s="1"/>
      <c r="C181" s="1"/>
      <c r="D181" s="1"/>
      <c r="E181" s="1"/>
      <c r="F181" s="1"/>
    </row>
    <row r="182" ht="13.5" customHeight="1">
      <c r="A182" s="1"/>
      <c r="B182" s="1"/>
      <c r="C182" s="1"/>
      <c r="D182" s="1"/>
      <c r="E182" s="1"/>
      <c r="F182" s="1"/>
    </row>
    <row r="183" ht="13.5" customHeight="1">
      <c r="A183" s="1"/>
      <c r="B183" s="1"/>
      <c r="C183" s="1"/>
      <c r="D183" s="1"/>
      <c r="E183" s="1"/>
      <c r="F183" s="1"/>
    </row>
    <row r="184" ht="13.5" customHeight="1">
      <c r="A184" s="1"/>
      <c r="B184" s="1"/>
      <c r="C184" s="1"/>
      <c r="D184" s="1"/>
      <c r="E184" s="1"/>
      <c r="F184" s="1"/>
    </row>
    <row r="185" ht="13.5" customHeight="1">
      <c r="A185" s="1"/>
      <c r="B185" s="1"/>
      <c r="C185" s="1"/>
      <c r="D185" s="1"/>
      <c r="E185" s="1"/>
      <c r="F185" s="1"/>
    </row>
    <row r="186" ht="13.5" customHeight="1">
      <c r="A186" s="1"/>
      <c r="B186" s="1"/>
      <c r="C186" s="1"/>
      <c r="D186" s="1"/>
      <c r="E186" s="1"/>
      <c r="F186" s="1"/>
    </row>
    <row r="187" ht="13.5" customHeight="1">
      <c r="A187" s="1"/>
      <c r="B187" s="1"/>
      <c r="C187" s="1"/>
      <c r="D187" s="1"/>
      <c r="E187" s="1"/>
      <c r="F187" s="1"/>
    </row>
    <row r="188" ht="13.5" customHeight="1">
      <c r="A188" s="1"/>
      <c r="B188" s="1"/>
      <c r="C188" s="1"/>
      <c r="D188" s="1"/>
      <c r="E188" s="1"/>
      <c r="F188" s="1"/>
    </row>
    <row r="189" ht="13.5" customHeight="1">
      <c r="A189" s="1"/>
      <c r="B189" s="1"/>
      <c r="C189" s="1"/>
      <c r="D189" s="1"/>
      <c r="E189" s="1"/>
      <c r="F189" s="1"/>
    </row>
    <row r="190" ht="13.5" customHeight="1">
      <c r="A190" s="1"/>
      <c r="B190" s="1"/>
      <c r="C190" s="1"/>
      <c r="D190" s="1"/>
      <c r="E190" s="1"/>
      <c r="F190" s="1"/>
    </row>
    <row r="191" ht="13.5" customHeight="1">
      <c r="A191" s="1"/>
      <c r="B191" s="1"/>
      <c r="C191" s="1"/>
      <c r="D191" s="1"/>
      <c r="E191" s="1"/>
      <c r="F191" s="1"/>
    </row>
    <row r="192" ht="13.5" customHeight="1">
      <c r="A192" s="1"/>
      <c r="B192" s="1"/>
      <c r="C192" s="1"/>
      <c r="D192" s="1"/>
      <c r="E192" s="1"/>
      <c r="F192" s="1"/>
    </row>
    <row r="193" ht="13.5" customHeight="1">
      <c r="A193" s="1"/>
      <c r="B193" s="1"/>
      <c r="C193" s="1"/>
      <c r="D193" s="1"/>
      <c r="E193" s="1"/>
      <c r="F193" s="1"/>
    </row>
    <row r="194" ht="13.5" customHeight="1">
      <c r="A194" s="1"/>
      <c r="B194" s="1"/>
      <c r="C194" s="1"/>
      <c r="D194" s="1"/>
      <c r="E194" s="1"/>
      <c r="F194" s="1"/>
    </row>
    <row r="195" ht="13.5" customHeight="1">
      <c r="A195" s="1"/>
      <c r="B195" s="1"/>
      <c r="C195" s="1"/>
      <c r="D195" s="1"/>
      <c r="E195" s="1"/>
      <c r="F195" s="1"/>
    </row>
    <row r="196" ht="13.5" customHeight="1">
      <c r="A196" s="1"/>
      <c r="B196" s="1"/>
      <c r="C196" s="1"/>
      <c r="D196" s="1"/>
      <c r="E196" s="1"/>
      <c r="F196" s="1"/>
    </row>
    <row r="197" ht="13.5" customHeight="1">
      <c r="A197" s="1"/>
      <c r="B197" s="1"/>
      <c r="C197" s="1"/>
      <c r="D197" s="1"/>
      <c r="E197" s="1"/>
      <c r="F197" s="1"/>
    </row>
    <row r="198" ht="13.5" customHeight="1">
      <c r="A198" s="1"/>
      <c r="B198" s="1"/>
      <c r="C198" s="1"/>
      <c r="D198" s="1"/>
      <c r="E198" s="1"/>
      <c r="F198" s="1"/>
    </row>
    <row r="199" ht="13.5" customHeight="1">
      <c r="A199" s="1"/>
      <c r="B199" s="1"/>
      <c r="C199" s="1"/>
      <c r="D199" s="1"/>
      <c r="E199" s="1"/>
      <c r="F199" s="1"/>
    </row>
    <row r="200" ht="13.5" customHeight="1">
      <c r="A200" s="1"/>
      <c r="B200" s="1"/>
      <c r="C200" s="1"/>
      <c r="D200" s="1"/>
      <c r="E200" s="1"/>
      <c r="F200" s="1"/>
    </row>
    <row r="201" ht="13.5" customHeight="1">
      <c r="A201" s="1"/>
      <c r="B201" s="1"/>
      <c r="C201" s="1"/>
      <c r="D201" s="1"/>
      <c r="E201" s="1"/>
      <c r="F201" s="1"/>
    </row>
    <row r="202" ht="13.5" customHeight="1">
      <c r="A202" s="1"/>
      <c r="B202" s="1"/>
      <c r="C202" s="1"/>
      <c r="D202" s="1"/>
      <c r="E202" s="1"/>
      <c r="F202" s="1"/>
    </row>
    <row r="203" ht="13.5" customHeight="1">
      <c r="A203" s="1"/>
      <c r="B203" s="1"/>
      <c r="C203" s="1"/>
      <c r="D203" s="1"/>
      <c r="E203" s="1"/>
      <c r="F203" s="1"/>
    </row>
    <row r="204" ht="13.5" customHeight="1">
      <c r="A204" s="1"/>
      <c r="B204" s="1"/>
      <c r="C204" s="1"/>
      <c r="D204" s="1"/>
      <c r="E204" s="1"/>
      <c r="F204" s="1"/>
    </row>
    <row r="205" ht="13.5" customHeight="1">
      <c r="A205" s="1"/>
      <c r="B205" s="1"/>
      <c r="C205" s="1"/>
      <c r="D205" s="1"/>
      <c r="E205" s="1"/>
      <c r="F205" s="1"/>
    </row>
    <row r="206" ht="13.5" customHeight="1">
      <c r="A206" s="1"/>
      <c r="B206" s="1"/>
      <c r="C206" s="1"/>
      <c r="D206" s="1"/>
      <c r="E206" s="1"/>
      <c r="F206" s="1"/>
    </row>
    <row r="207" ht="13.5" customHeight="1">
      <c r="A207" s="1"/>
      <c r="B207" s="1"/>
      <c r="C207" s="1"/>
      <c r="D207" s="1"/>
      <c r="E207" s="1"/>
      <c r="F207" s="1"/>
    </row>
    <row r="208" ht="13.5" customHeight="1">
      <c r="A208" s="1"/>
      <c r="B208" s="1"/>
      <c r="C208" s="1"/>
      <c r="D208" s="1"/>
      <c r="E208" s="1"/>
      <c r="F208" s="1"/>
    </row>
    <row r="209" ht="13.5" customHeight="1">
      <c r="A209" s="1"/>
      <c r="B209" s="1"/>
      <c r="C209" s="1"/>
      <c r="D209" s="1"/>
      <c r="E209" s="1"/>
      <c r="F209" s="1"/>
    </row>
    <row r="210" ht="13.5" customHeight="1">
      <c r="A210" s="1"/>
      <c r="B210" s="1"/>
      <c r="C210" s="1"/>
      <c r="D210" s="1"/>
      <c r="E210" s="1"/>
      <c r="F210" s="1"/>
    </row>
    <row r="211" ht="13.5" customHeight="1">
      <c r="A211" s="1"/>
      <c r="B211" s="1"/>
      <c r="C211" s="1"/>
      <c r="D211" s="1"/>
      <c r="E211" s="1"/>
      <c r="F211" s="1"/>
    </row>
    <row r="212" ht="13.5" customHeight="1">
      <c r="A212" s="1"/>
      <c r="B212" s="1"/>
      <c r="C212" s="1"/>
      <c r="D212" s="1"/>
      <c r="E212" s="1"/>
      <c r="F212" s="1"/>
    </row>
    <row r="213" ht="13.5" customHeight="1">
      <c r="A213" s="1"/>
      <c r="B213" s="1"/>
      <c r="C213" s="1"/>
      <c r="D213" s="1"/>
      <c r="E213" s="1"/>
      <c r="F213" s="1"/>
    </row>
    <row r="214" ht="13.5" customHeight="1">
      <c r="A214" s="1"/>
      <c r="B214" s="1"/>
      <c r="C214" s="1"/>
      <c r="D214" s="1"/>
      <c r="E214" s="1"/>
      <c r="F214" s="1"/>
    </row>
    <row r="215" ht="13.5" customHeight="1">
      <c r="A215" s="1"/>
      <c r="B215" s="1"/>
      <c r="C215" s="1"/>
      <c r="D215" s="1"/>
      <c r="E215" s="1"/>
      <c r="F215" s="1"/>
    </row>
    <row r="216" ht="13.5" customHeight="1">
      <c r="A216" s="1"/>
      <c r="B216" s="1"/>
      <c r="C216" s="1"/>
      <c r="D216" s="1"/>
      <c r="E216" s="1"/>
      <c r="F216" s="1"/>
    </row>
    <row r="217" ht="13.5" customHeight="1">
      <c r="A217" s="1"/>
      <c r="B217" s="1"/>
      <c r="C217" s="1"/>
      <c r="D217" s="1"/>
      <c r="E217" s="1"/>
      <c r="F217" s="1"/>
    </row>
    <row r="218" ht="13.5" customHeight="1">
      <c r="A218" s="1"/>
      <c r="B218" s="1"/>
      <c r="C218" s="1"/>
      <c r="D218" s="1"/>
      <c r="E218" s="1"/>
      <c r="F218" s="1"/>
    </row>
    <row r="219" ht="13.5" customHeight="1">
      <c r="A219" s="1"/>
      <c r="B219" s="1"/>
      <c r="C219" s="1"/>
      <c r="D219" s="1"/>
      <c r="E219" s="1"/>
      <c r="F219" s="1"/>
    </row>
    <row r="220" ht="13.5" customHeight="1">
      <c r="A220" s="1"/>
      <c r="B220" s="1"/>
      <c r="C220" s="1"/>
      <c r="D220" s="1"/>
      <c r="E220" s="1"/>
      <c r="F220" s="1"/>
    </row>
    <row r="221" ht="13.5" customHeight="1">
      <c r="A221" s="1"/>
      <c r="B221" s="1"/>
      <c r="C221" s="1"/>
      <c r="D221" s="1"/>
      <c r="E221" s="1"/>
      <c r="F221" s="1"/>
    </row>
    <row r="222" ht="13.5" customHeight="1">
      <c r="A222" s="1"/>
      <c r="B222" s="1"/>
      <c r="C222" s="1"/>
      <c r="D222" s="1"/>
      <c r="E222" s="1"/>
      <c r="F222" s="1"/>
    </row>
    <row r="223" ht="13.5" customHeight="1">
      <c r="A223" s="1"/>
      <c r="B223" s="1"/>
      <c r="C223" s="1"/>
      <c r="D223" s="1"/>
      <c r="E223" s="1"/>
      <c r="F223" s="1"/>
    </row>
    <row r="224" ht="13.5" customHeight="1">
      <c r="A224" s="1"/>
      <c r="B224" s="1"/>
      <c r="C224" s="1"/>
      <c r="D224" s="1"/>
      <c r="E224" s="1"/>
      <c r="F224" s="1"/>
    </row>
    <row r="225" ht="13.5" customHeight="1">
      <c r="A225" s="1"/>
      <c r="B225" s="1"/>
      <c r="C225" s="1"/>
      <c r="D225" s="1"/>
      <c r="E225" s="1"/>
      <c r="F225" s="1"/>
    </row>
    <row r="226" ht="13.5" customHeight="1">
      <c r="A226" s="1"/>
      <c r="B226" s="1"/>
      <c r="C226" s="1"/>
      <c r="D226" s="1"/>
      <c r="E226" s="1"/>
      <c r="F226" s="1"/>
    </row>
    <row r="227" ht="13.5" customHeight="1">
      <c r="A227" s="1"/>
      <c r="B227" s="1"/>
      <c r="C227" s="1"/>
      <c r="D227" s="1"/>
      <c r="E227" s="1"/>
      <c r="F227" s="1"/>
    </row>
    <row r="228" ht="13.5" customHeight="1">
      <c r="A228" s="1"/>
      <c r="B228" s="1"/>
      <c r="C228" s="1"/>
      <c r="D228" s="1"/>
      <c r="E228" s="1"/>
      <c r="F228" s="1"/>
    </row>
    <row r="229" ht="13.5" customHeight="1">
      <c r="A229" s="1"/>
      <c r="B229" s="1"/>
      <c r="C229" s="1"/>
      <c r="D229" s="1"/>
      <c r="E229" s="1"/>
      <c r="F229" s="1"/>
    </row>
    <row r="230" ht="13.5" customHeight="1">
      <c r="A230" s="1"/>
      <c r="B230" s="1"/>
      <c r="C230" s="1"/>
      <c r="D230" s="1"/>
      <c r="E230" s="1"/>
      <c r="F230" s="1"/>
    </row>
    <row r="231" ht="13.5" customHeight="1">
      <c r="A231" s="1"/>
      <c r="B231" s="1"/>
      <c r="C231" s="1"/>
      <c r="D231" s="1"/>
      <c r="E231" s="1"/>
      <c r="F231" s="1"/>
    </row>
    <row r="232" ht="13.5" customHeight="1">
      <c r="A232" s="1"/>
      <c r="B232" s="1"/>
      <c r="C232" s="1"/>
      <c r="D232" s="1"/>
      <c r="E232" s="1"/>
      <c r="F232" s="1"/>
    </row>
    <row r="233" ht="13.5" customHeight="1">
      <c r="A233" s="1"/>
      <c r="B233" s="1"/>
      <c r="C233" s="1"/>
      <c r="D233" s="1"/>
      <c r="E233" s="1"/>
      <c r="F233" s="1"/>
    </row>
    <row r="234" ht="13.5" customHeight="1">
      <c r="A234" s="1"/>
      <c r="B234" s="1"/>
      <c r="C234" s="1"/>
      <c r="D234" s="1"/>
      <c r="E234" s="1"/>
      <c r="F234" s="1"/>
    </row>
    <row r="235" ht="13.5" customHeight="1">
      <c r="A235" s="1"/>
      <c r="B235" s="1"/>
      <c r="C235" s="1"/>
      <c r="D235" s="1"/>
      <c r="E235" s="1"/>
      <c r="F235" s="1"/>
    </row>
    <row r="236" ht="13.5" customHeight="1">
      <c r="A236" s="1"/>
      <c r="B236" s="1"/>
      <c r="C236" s="1"/>
      <c r="D236" s="1"/>
      <c r="E236" s="1"/>
      <c r="F236" s="1"/>
    </row>
    <row r="237" ht="13.5" customHeight="1">
      <c r="A237" s="1"/>
      <c r="B237" s="1"/>
      <c r="C237" s="1"/>
      <c r="D237" s="1"/>
      <c r="E237" s="1"/>
      <c r="F237" s="1"/>
    </row>
    <row r="238" ht="13.5" customHeight="1">
      <c r="A238" s="1"/>
      <c r="B238" s="1"/>
      <c r="C238" s="1"/>
      <c r="D238" s="1"/>
      <c r="E238" s="1"/>
      <c r="F238" s="1"/>
    </row>
    <row r="239" ht="13.5" customHeight="1">
      <c r="A239" s="1"/>
      <c r="B239" s="1"/>
      <c r="C239" s="1"/>
      <c r="D239" s="1"/>
      <c r="E239" s="1"/>
      <c r="F239" s="1"/>
    </row>
    <row r="240" ht="13.5" customHeight="1">
      <c r="A240" s="1"/>
      <c r="B240" s="1"/>
      <c r="C240" s="1"/>
      <c r="D240" s="1"/>
      <c r="E240" s="1"/>
      <c r="F240" s="1"/>
    </row>
    <row r="241" ht="13.5" customHeight="1">
      <c r="A241" s="1"/>
      <c r="B241" s="1"/>
      <c r="C241" s="1"/>
      <c r="D241" s="1"/>
      <c r="E241" s="1"/>
      <c r="F241" s="1"/>
    </row>
    <row r="242" ht="13.5" customHeight="1">
      <c r="A242" s="1"/>
      <c r="B242" s="1"/>
      <c r="C242" s="1"/>
      <c r="D242" s="1"/>
      <c r="E242" s="1"/>
      <c r="F242" s="1"/>
    </row>
    <row r="243" ht="13.5" customHeight="1">
      <c r="A243" s="1"/>
      <c r="B243" s="1"/>
      <c r="C243" s="1"/>
      <c r="D243" s="1"/>
      <c r="E243" s="1"/>
      <c r="F243" s="1"/>
    </row>
    <row r="244" ht="13.5" customHeight="1">
      <c r="A244" s="1"/>
      <c r="B244" s="1"/>
      <c r="C244" s="1"/>
      <c r="D244" s="1"/>
      <c r="E244" s="1"/>
      <c r="F244" s="1"/>
    </row>
    <row r="245" ht="13.5" customHeight="1">
      <c r="A245" s="1"/>
      <c r="B245" s="1"/>
      <c r="C245" s="1"/>
      <c r="D245" s="1"/>
      <c r="E245" s="1"/>
      <c r="F245" s="1"/>
    </row>
    <row r="246" ht="13.5" customHeight="1">
      <c r="A246" s="1"/>
      <c r="B246" s="1"/>
      <c r="C246" s="1"/>
      <c r="D246" s="1"/>
      <c r="E246" s="1"/>
      <c r="F246" s="1"/>
    </row>
    <row r="247" ht="13.5" customHeight="1">
      <c r="A247" s="1"/>
      <c r="B247" s="1"/>
      <c r="C247" s="1"/>
      <c r="D247" s="1"/>
      <c r="E247" s="1"/>
      <c r="F247" s="1"/>
    </row>
    <row r="248" ht="13.5" customHeight="1">
      <c r="A248" s="1"/>
      <c r="B248" s="1"/>
      <c r="C248" s="1"/>
      <c r="D248" s="1"/>
      <c r="E248" s="1"/>
      <c r="F248" s="1"/>
    </row>
    <row r="249" ht="13.5" customHeight="1">
      <c r="A249" s="1"/>
      <c r="B249" s="1"/>
      <c r="C249" s="1"/>
      <c r="D249" s="1"/>
      <c r="E249" s="1"/>
      <c r="F249" s="1"/>
    </row>
    <row r="250" ht="13.5" customHeight="1">
      <c r="A250" s="1"/>
      <c r="B250" s="1"/>
      <c r="C250" s="1"/>
      <c r="D250" s="1"/>
      <c r="E250" s="1"/>
      <c r="F250" s="1"/>
    </row>
    <row r="251" ht="13.5" customHeight="1">
      <c r="A251" s="1"/>
      <c r="B251" s="1"/>
      <c r="C251" s="1"/>
      <c r="D251" s="1"/>
      <c r="E251" s="1"/>
      <c r="F251" s="1"/>
    </row>
    <row r="252" ht="13.5" customHeight="1">
      <c r="A252" s="1"/>
      <c r="B252" s="1"/>
      <c r="C252" s="1"/>
      <c r="D252" s="1"/>
      <c r="E252" s="1"/>
      <c r="F252" s="1"/>
    </row>
    <row r="253" ht="13.5" customHeight="1">
      <c r="A253" s="1"/>
      <c r="B253" s="1"/>
      <c r="C253" s="1"/>
      <c r="D253" s="1"/>
      <c r="E253" s="1"/>
      <c r="F253" s="1"/>
    </row>
    <row r="254" ht="13.5" customHeight="1">
      <c r="A254" s="1"/>
      <c r="B254" s="1"/>
      <c r="C254" s="1"/>
      <c r="D254" s="1"/>
      <c r="E254" s="1"/>
      <c r="F254" s="1"/>
    </row>
    <row r="255" ht="13.5" customHeight="1">
      <c r="A255" s="1"/>
      <c r="B255" s="1"/>
      <c r="C255" s="1"/>
      <c r="D255" s="1"/>
      <c r="E255" s="1"/>
      <c r="F255" s="1"/>
    </row>
    <row r="256" ht="13.5" customHeight="1">
      <c r="A256" s="1"/>
      <c r="B256" s="1"/>
      <c r="C256" s="1"/>
      <c r="D256" s="1"/>
      <c r="E256" s="1"/>
      <c r="F256" s="1"/>
    </row>
    <row r="257" ht="13.5" customHeight="1">
      <c r="A257" s="1"/>
      <c r="B257" s="1"/>
      <c r="C257" s="1"/>
      <c r="D257" s="1"/>
      <c r="E257" s="1"/>
      <c r="F257" s="1"/>
    </row>
    <row r="258" ht="13.5" customHeight="1">
      <c r="A258" s="1"/>
      <c r="B258" s="1"/>
      <c r="C258" s="1"/>
      <c r="D258" s="1"/>
      <c r="E258" s="1"/>
      <c r="F258" s="1"/>
    </row>
    <row r="259" ht="13.5" customHeight="1">
      <c r="A259" s="1"/>
      <c r="B259" s="1"/>
      <c r="C259" s="1"/>
      <c r="D259" s="1"/>
      <c r="E259" s="1"/>
      <c r="F259" s="1"/>
    </row>
    <row r="260" ht="13.5" customHeight="1">
      <c r="A260" s="1"/>
      <c r="B260" s="1"/>
      <c r="C260" s="1"/>
      <c r="D260" s="1"/>
      <c r="E260" s="1"/>
      <c r="F260" s="1"/>
    </row>
    <row r="261" ht="13.5" customHeight="1">
      <c r="A261" s="1"/>
      <c r="B261" s="1"/>
      <c r="C261" s="1"/>
      <c r="D261" s="1"/>
      <c r="E261" s="1"/>
      <c r="F261" s="1"/>
    </row>
    <row r="262" ht="13.5" customHeight="1">
      <c r="A262" s="1"/>
      <c r="B262" s="1"/>
      <c r="C262" s="1"/>
      <c r="D262" s="1"/>
      <c r="E262" s="1"/>
      <c r="F262" s="1"/>
    </row>
    <row r="263" ht="13.5" customHeight="1">
      <c r="A263" s="1"/>
      <c r="B263" s="1"/>
      <c r="C263" s="1"/>
      <c r="D263" s="1"/>
      <c r="E263" s="1"/>
      <c r="F263" s="1"/>
    </row>
    <row r="264" ht="13.5" customHeight="1">
      <c r="A264" s="1"/>
      <c r="B264" s="1"/>
      <c r="C264" s="1"/>
      <c r="D264" s="1"/>
      <c r="E264" s="1"/>
      <c r="F264" s="1"/>
    </row>
    <row r="265" ht="13.5" customHeight="1">
      <c r="A265" s="1"/>
      <c r="B265" s="1"/>
      <c r="C265" s="1"/>
      <c r="D265" s="1"/>
      <c r="E265" s="1"/>
      <c r="F265" s="1"/>
    </row>
    <row r="266" ht="13.5" customHeight="1">
      <c r="A266" s="1"/>
      <c r="B266" s="1"/>
      <c r="C266" s="1"/>
      <c r="D266" s="1"/>
      <c r="E266" s="1"/>
      <c r="F266" s="1"/>
    </row>
    <row r="267" ht="13.5" customHeight="1">
      <c r="A267" s="1"/>
      <c r="B267" s="1"/>
      <c r="C267" s="1"/>
      <c r="D267" s="1"/>
      <c r="E267" s="1"/>
      <c r="F267" s="1"/>
    </row>
    <row r="268" ht="13.5" customHeight="1">
      <c r="A268" s="1"/>
      <c r="B268" s="1"/>
      <c r="C268" s="1"/>
      <c r="D268" s="1"/>
      <c r="E268" s="1"/>
      <c r="F268" s="1"/>
    </row>
    <row r="269" ht="13.5" customHeight="1">
      <c r="A269" s="1"/>
      <c r="B269" s="1"/>
      <c r="C269" s="1"/>
      <c r="D269" s="1"/>
      <c r="E269" s="1"/>
      <c r="F269" s="1"/>
    </row>
    <row r="270" ht="13.5" customHeight="1">
      <c r="A270" s="1"/>
      <c r="B270" s="1"/>
      <c r="C270" s="1"/>
      <c r="D270" s="1"/>
      <c r="E270" s="1"/>
      <c r="F270" s="1"/>
    </row>
    <row r="271" ht="13.5" customHeight="1">
      <c r="A271" s="1"/>
      <c r="B271" s="1"/>
      <c r="C271" s="1"/>
      <c r="D271" s="1"/>
      <c r="E271" s="1"/>
      <c r="F271" s="1"/>
    </row>
    <row r="272" ht="13.5" customHeight="1">
      <c r="A272" s="1"/>
      <c r="B272" s="1"/>
      <c r="C272" s="1"/>
      <c r="D272" s="1"/>
      <c r="E272" s="1"/>
      <c r="F272" s="1"/>
    </row>
    <row r="273" ht="13.5" customHeight="1">
      <c r="A273" s="1"/>
      <c r="B273" s="1"/>
      <c r="C273" s="1"/>
      <c r="D273" s="1"/>
      <c r="E273" s="1"/>
      <c r="F273" s="1"/>
    </row>
    <row r="274" ht="13.5" customHeight="1">
      <c r="A274" s="1"/>
      <c r="B274" s="1"/>
      <c r="C274" s="1"/>
      <c r="D274" s="1"/>
      <c r="E274" s="1"/>
      <c r="F274" s="1"/>
    </row>
    <row r="275" ht="13.5" customHeight="1">
      <c r="A275" s="1"/>
      <c r="B275" s="1"/>
      <c r="C275" s="1"/>
      <c r="D275" s="1"/>
      <c r="E275" s="1"/>
      <c r="F275" s="1"/>
    </row>
    <row r="276" ht="13.5" customHeight="1">
      <c r="A276" s="1"/>
      <c r="B276" s="1"/>
      <c r="C276" s="1"/>
      <c r="D276" s="1"/>
      <c r="E276" s="1"/>
      <c r="F276" s="1"/>
    </row>
    <row r="277" ht="13.5" customHeight="1">
      <c r="A277" s="1"/>
      <c r="B277" s="1"/>
      <c r="C277" s="1"/>
      <c r="D277" s="1"/>
      <c r="E277" s="1"/>
      <c r="F277" s="1"/>
    </row>
    <row r="278" ht="13.5" customHeight="1">
      <c r="A278" s="1"/>
      <c r="B278" s="1"/>
      <c r="C278" s="1"/>
      <c r="D278" s="1"/>
      <c r="E278" s="1"/>
      <c r="F278" s="1"/>
    </row>
    <row r="279" ht="13.5" customHeight="1">
      <c r="A279" s="1"/>
      <c r="B279" s="1"/>
      <c r="C279" s="1"/>
      <c r="D279" s="1"/>
      <c r="E279" s="1"/>
      <c r="F279" s="1"/>
    </row>
    <row r="280" ht="13.5" customHeight="1">
      <c r="A280" s="1"/>
      <c r="B280" s="1"/>
      <c r="C280" s="1"/>
      <c r="D280" s="1"/>
      <c r="E280" s="1"/>
      <c r="F280" s="1"/>
    </row>
    <row r="281" ht="13.5" customHeight="1">
      <c r="A281" s="1"/>
      <c r="B281" s="1"/>
      <c r="C281" s="1"/>
      <c r="D281" s="1"/>
      <c r="E281" s="1"/>
      <c r="F281" s="1"/>
    </row>
    <row r="282" ht="13.5" customHeight="1">
      <c r="A282" s="1"/>
      <c r="B282" s="1"/>
      <c r="C282" s="1"/>
      <c r="D282" s="1"/>
      <c r="E282" s="1"/>
      <c r="F282" s="1"/>
    </row>
    <row r="283" ht="13.5" customHeight="1">
      <c r="A283" s="1"/>
      <c r="B283" s="1"/>
      <c r="C283" s="1"/>
      <c r="D283" s="1"/>
      <c r="E283" s="1"/>
      <c r="F283" s="1"/>
    </row>
    <row r="284" ht="13.5" customHeight="1">
      <c r="A284" s="1"/>
      <c r="B284" s="1"/>
      <c r="C284" s="1"/>
      <c r="D284" s="1"/>
      <c r="E284" s="1"/>
      <c r="F284" s="1"/>
    </row>
    <row r="285" ht="13.5" customHeight="1">
      <c r="A285" s="1"/>
      <c r="B285" s="1"/>
      <c r="C285" s="1"/>
      <c r="D285" s="1"/>
      <c r="E285" s="1"/>
      <c r="F285" s="1"/>
    </row>
    <row r="286" ht="13.5" customHeight="1">
      <c r="A286" s="1"/>
      <c r="B286" s="1"/>
      <c r="C286" s="1"/>
      <c r="D286" s="1"/>
      <c r="E286" s="1"/>
      <c r="F286" s="1"/>
    </row>
    <row r="287" ht="13.5" customHeight="1">
      <c r="A287" s="1"/>
      <c r="B287" s="1"/>
      <c r="C287" s="1"/>
      <c r="D287" s="1"/>
      <c r="E287" s="1"/>
      <c r="F287" s="1"/>
    </row>
    <row r="288" ht="13.5" customHeight="1">
      <c r="A288" s="1"/>
      <c r="B288" s="1"/>
      <c r="C288" s="1"/>
      <c r="D288" s="1"/>
      <c r="E288" s="1"/>
      <c r="F288" s="1"/>
    </row>
    <row r="289" ht="13.5" customHeight="1">
      <c r="A289" s="1"/>
      <c r="B289" s="1"/>
      <c r="C289" s="1"/>
      <c r="D289" s="1"/>
      <c r="E289" s="1"/>
      <c r="F289" s="1"/>
    </row>
    <row r="290" ht="13.5" customHeight="1">
      <c r="A290" s="1"/>
      <c r="B290" s="1"/>
      <c r="C290" s="1"/>
      <c r="D290" s="1"/>
      <c r="E290" s="1"/>
      <c r="F290" s="1"/>
    </row>
    <row r="291" ht="13.5" customHeight="1">
      <c r="A291" s="1"/>
      <c r="B291" s="1"/>
      <c r="C291" s="1"/>
      <c r="D291" s="1"/>
      <c r="E291" s="1"/>
      <c r="F291" s="1"/>
    </row>
    <row r="292" ht="13.5" customHeight="1">
      <c r="A292" s="1"/>
      <c r="B292" s="1"/>
      <c r="C292" s="1"/>
      <c r="D292" s="1"/>
      <c r="E292" s="1"/>
      <c r="F292" s="1"/>
    </row>
    <row r="293" ht="13.5" customHeight="1">
      <c r="A293" s="1"/>
      <c r="B293" s="1"/>
      <c r="C293" s="1"/>
      <c r="D293" s="1"/>
      <c r="E293" s="1"/>
      <c r="F293" s="1"/>
    </row>
    <row r="294" ht="13.5" customHeight="1">
      <c r="A294" s="1"/>
      <c r="B294" s="1"/>
      <c r="C294" s="1"/>
      <c r="D294" s="1"/>
      <c r="E294" s="1"/>
      <c r="F294" s="1"/>
    </row>
    <row r="295" ht="13.5" customHeight="1">
      <c r="A295" s="1"/>
      <c r="B295" s="1"/>
      <c r="C295" s="1"/>
      <c r="D295" s="1"/>
      <c r="E295" s="1"/>
      <c r="F295" s="1"/>
    </row>
    <row r="296" ht="13.5" customHeight="1">
      <c r="A296" s="1"/>
      <c r="B296" s="1"/>
      <c r="C296" s="1"/>
      <c r="D296" s="1"/>
      <c r="E296" s="1"/>
      <c r="F296" s="1"/>
    </row>
    <row r="297" ht="13.5" customHeight="1">
      <c r="A297" s="1"/>
      <c r="B297" s="1"/>
      <c r="C297" s="1"/>
      <c r="D297" s="1"/>
      <c r="E297" s="1"/>
      <c r="F297" s="1"/>
    </row>
    <row r="298" ht="13.5" customHeight="1">
      <c r="A298" s="1"/>
      <c r="B298" s="1"/>
      <c r="C298" s="1"/>
      <c r="D298" s="1"/>
      <c r="E298" s="1"/>
      <c r="F298" s="1"/>
    </row>
    <row r="299" ht="13.5" customHeight="1">
      <c r="A299" s="1"/>
      <c r="B299" s="1"/>
      <c r="C299" s="1"/>
      <c r="D299" s="1"/>
      <c r="E299" s="1"/>
      <c r="F299" s="1"/>
    </row>
    <row r="300" ht="13.5" customHeight="1">
      <c r="A300" s="1"/>
      <c r="B300" s="1"/>
      <c r="C300" s="1"/>
      <c r="D300" s="1"/>
      <c r="E300" s="1"/>
      <c r="F300" s="1"/>
    </row>
    <row r="301" ht="13.5" customHeight="1">
      <c r="A301" s="1"/>
      <c r="B301" s="1"/>
      <c r="C301" s="1"/>
      <c r="D301" s="1"/>
      <c r="E301" s="1"/>
      <c r="F301" s="1"/>
    </row>
    <row r="302" ht="13.5" customHeight="1">
      <c r="A302" s="1"/>
      <c r="B302" s="1"/>
      <c r="C302" s="1"/>
      <c r="D302" s="1"/>
      <c r="E302" s="1"/>
      <c r="F302" s="1"/>
    </row>
    <row r="303" ht="13.5" customHeight="1">
      <c r="A303" s="1"/>
      <c r="B303" s="1"/>
      <c r="C303" s="1"/>
      <c r="D303" s="1"/>
      <c r="E303" s="1"/>
      <c r="F303" s="1"/>
    </row>
    <row r="304" ht="13.5" customHeight="1">
      <c r="A304" s="1"/>
      <c r="B304" s="1"/>
      <c r="C304" s="1"/>
      <c r="D304" s="1"/>
      <c r="E304" s="1"/>
      <c r="F304" s="1"/>
    </row>
    <row r="305" ht="13.5" customHeight="1">
      <c r="A305" s="1"/>
      <c r="B305" s="1"/>
      <c r="C305" s="1"/>
      <c r="D305" s="1"/>
      <c r="E305" s="1"/>
      <c r="F305" s="1"/>
    </row>
    <row r="306" ht="13.5" customHeight="1">
      <c r="A306" s="1"/>
      <c r="B306" s="1"/>
      <c r="C306" s="1"/>
      <c r="D306" s="1"/>
      <c r="E306" s="1"/>
      <c r="F306" s="1"/>
    </row>
    <row r="307" ht="13.5" customHeight="1">
      <c r="A307" s="1"/>
      <c r="B307" s="1"/>
      <c r="C307" s="1"/>
      <c r="D307" s="1"/>
      <c r="E307" s="1"/>
      <c r="F307" s="1"/>
    </row>
    <row r="308" ht="13.5" customHeight="1">
      <c r="A308" s="1"/>
      <c r="B308" s="1"/>
      <c r="C308" s="1"/>
      <c r="D308" s="1"/>
      <c r="E308" s="1"/>
      <c r="F308" s="1"/>
    </row>
    <row r="309" ht="13.5" customHeight="1">
      <c r="A309" s="1"/>
      <c r="B309" s="1"/>
      <c r="C309" s="1"/>
      <c r="D309" s="1"/>
      <c r="E309" s="1"/>
      <c r="F309" s="1"/>
    </row>
    <row r="310" ht="13.5" customHeight="1">
      <c r="A310" s="1"/>
      <c r="B310" s="1"/>
      <c r="C310" s="1"/>
      <c r="D310" s="1"/>
      <c r="E310" s="1"/>
      <c r="F310" s="1"/>
    </row>
    <row r="311" ht="13.5" customHeight="1">
      <c r="A311" s="1"/>
      <c r="B311" s="1"/>
      <c r="C311" s="1"/>
      <c r="D311" s="1"/>
      <c r="E311" s="1"/>
      <c r="F311" s="1"/>
    </row>
    <row r="312" ht="13.5" customHeight="1">
      <c r="A312" s="1"/>
      <c r="B312" s="1"/>
      <c r="C312" s="1"/>
      <c r="D312" s="1"/>
      <c r="E312" s="1"/>
      <c r="F312" s="1"/>
    </row>
    <row r="313" ht="13.5" customHeight="1">
      <c r="A313" s="1"/>
      <c r="B313" s="1"/>
      <c r="C313" s="1"/>
      <c r="D313" s="1"/>
      <c r="E313" s="1"/>
      <c r="F313" s="1"/>
    </row>
    <row r="314" ht="13.5" customHeight="1">
      <c r="A314" s="1"/>
      <c r="B314" s="1"/>
      <c r="C314" s="1"/>
      <c r="D314" s="1"/>
      <c r="E314" s="1"/>
      <c r="F314" s="1"/>
    </row>
    <row r="315" ht="13.5" customHeight="1">
      <c r="A315" s="1"/>
      <c r="B315" s="1"/>
      <c r="C315" s="1"/>
      <c r="D315" s="1"/>
      <c r="E315" s="1"/>
      <c r="F315" s="1"/>
    </row>
    <row r="316" ht="13.5" customHeight="1">
      <c r="A316" s="1"/>
      <c r="B316" s="1"/>
      <c r="C316" s="1"/>
      <c r="D316" s="1"/>
      <c r="E316" s="1"/>
      <c r="F316" s="1"/>
    </row>
    <row r="317" ht="13.5" customHeight="1">
      <c r="A317" s="1"/>
      <c r="B317" s="1"/>
      <c r="C317" s="1"/>
      <c r="D317" s="1"/>
      <c r="E317" s="1"/>
      <c r="F317" s="1"/>
    </row>
    <row r="318" ht="13.5" customHeight="1">
      <c r="A318" s="1"/>
      <c r="B318" s="1"/>
      <c r="C318" s="1"/>
      <c r="D318" s="1"/>
      <c r="E318" s="1"/>
      <c r="F318" s="1"/>
    </row>
    <row r="319" ht="13.5" customHeight="1">
      <c r="A319" s="1"/>
      <c r="B319" s="1"/>
      <c r="C319" s="1"/>
      <c r="D319" s="1"/>
      <c r="E319" s="1"/>
      <c r="F319" s="1"/>
    </row>
    <row r="320" ht="13.5" customHeight="1">
      <c r="A320" s="1"/>
      <c r="B320" s="1"/>
      <c r="C320" s="1"/>
      <c r="D320" s="1"/>
      <c r="E320" s="1"/>
      <c r="F320" s="1"/>
    </row>
    <row r="321" ht="13.5" customHeight="1">
      <c r="A321" s="1"/>
      <c r="B321" s="1"/>
      <c r="C321" s="1"/>
      <c r="D321" s="1"/>
      <c r="E321" s="1"/>
      <c r="F321" s="1"/>
    </row>
    <row r="322" ht="13.5" customHeight="1">
      <c r="A322" s="1"/>
      <c r="B322" s="1"/>
      <c r="C322" s="1"/>
      <c r="D322" s="1"/>
      <c r="E322" s="1"/>
      <c r="F322" s="1"/>
    </row>
    <row r="323" ht="13.5" customHeight="1">
      <c r="A323" s="1"/>
      <c r="B323" s="1"/>
      <c r="C323" s="1"/>
      <c r="D323" s="1"/>
      <c r="E323" s="1"/>
      <c r="F323" s="1"/>
    </row>
    <row r="324" ht="13.5" customHeight="1">
      <c r="A324" s="1"/>
      <c r="B324" s="1"/>
      <c r="C324" s="1"/>
      <c r="D324" s="1"/>
      <c r="E324" s="1"/>
      <c r="F324" s="1"/>
    </row>
    <row r="325" ht="13.5" customHeight="1">
      <c r="A325" s="1"/>
      <c r="B325" s="1"/>
      <c r="C325" s="1"/>
      <c r="D325" s="1"/>
      <c r="E325" s="1"/>
      <c r="F325" s="1"/>
    </row>
    <row r="326" ht="13.5" customHeight="1">
      <c r="A326" s="1"/>
      <c r="B326" s="1"/>
      <c r="C326" s="1"/>
      <c r="D326" s="1"/>
      <c r="E326" s="1"/>
      <c r="F326" s="1"/>
    </row>
    <row r="327" ht="13.5" customHeight="1">
      <c r="A327" s="1"/>
      <c r="B327" s="1"/>
      <c r="C327" s="1"/>
      <c r="D327" s="1"/>
      <c r="E327" s="1"/>
      <c r="F327" s="1"/>
    </row>
    <row r="328" ht="13.5" customHeight="1">
      <c r="A328" s="1"/>
      <c r="B328" s="1"/>
      <c r="C328" s="1"/>
      <c r="D328" s="1"/>
      <c r="E328" s="1"/>
      <c r="F328" s="1"/>
    </row>
    <row r="329" ht="13.5" customHeight="1">
      <c r="A329" s="1"/>
      <c r="B329" s="1"/>
      <c r="C329" s="1"/>
      <c r="D329" s="1"/>
      <c r="E329" s="1"/>
      <c r="F329" s="1"/>
    </row>
    <row r="330" ht="13.5" customHeight="1">
      <c r="A330" s="1"/>
      <c r="B330" s="1"/>
      <c r="C330" s="1"/>
      <c r="D330" s="1"/>
      <c r="E330" s="1"/>
      <c r="F330" s="1"/>
    </row>
    <row r="331" ht="13.5" customHeight="1">
      <c r="A331" s="1"/>
      <c r="B331" s="1"/>
      <c r="C331" s="1"/>
      <c r="D331" s="1"/>
      <c r="E331" s="1"/>
      <c r="F331" s="1"/>
    </row>
    <row r="332" ht="13.5" customHeight="1">
      <c r="A332" s="1"/>
      <c r="B332" s="1"/>
      <c r="C332" s="1"/>
      <c r="D332" s="1"/>
      <c r="E332" s="1"/>
      <c r="F332" s="1"/>
    </row>
    <row r="333" ht="13.5" customHeight="1">
      <c r="A333" s="1"/>
      <c r="B333" s="1"/>
      <c r="C333" s="1"/>
      <c r="D333" s="1"/>
      <c r="E333" s="1"/>
      <c r="F333" s="1"/>
    </row>
    <row r="334" ht="13.5" customHeight="1">
      <c r="A334" s="1"/>
      <c r="B334" s="1"/>
      <c r="C334" s="1"/>
      <c r="D334" s="1"/>
      <c r="E334" s="1"/>
      <c r="F334" s="1"/>
    </row>
    <row r="335" ht="13.5" customHeight="1">
      <c r="A335" s="1"/>
      <c r="B335" s="1"/>
      <c r="C335" s="1"/>
      <c r="D335" s="1"/>
      <c r="E335" s="1"/>
      <c r="F335" s="1"/>
    </row>
    <row r="336" ht="13.5" customHeight="1">
      <c r="A336" s="1"/>
      <c r="B336" s="1"/>
      <c r="C336" s="1"/>
      <c r="D336" s="1"/>
      <c r="E336" s="1"/>
      <c r="F336" s="1"/>
    </row>
    <row r="337" ht="13.5" customHeight="1">
      <c r="A337" s="1"/>
      <c r="B337" s="1"/>
      <c r="C337" s="1"/>
      <c r="D337" s="1"/>
      <c r="E337" s="1"/>
      <c r="F337" s="1"/>
    </row>
    <row r="338" ht="13.5" customHeight="1">
      <c r="A338" s="1"/>
      <c r="B338" s="1"/>
      <c r="C338" s="1"/>
      <c r="D338" s="1"/>
      <c r="E338" s="1"/>
      <c r="F338" s="1"/>
    </row>
    <row r="339" ht="13.5" customHeight="1">
      <c r="A339" s="1"/>
      <c r="B339" s="1"/>
      <c r="C339" s="1"/>
      <c r="D339" s="1"/>
      <c r="E339" s="1"/>
      <c r="F339" s="1"/>
    </row>
    <row r="340" ht="13.5" customHeight="1">
      <c r="A340" s="1"/>
      <c r="B340" s="1"/>
      <c r="C340" s="1"/>
      <c r="D340" s="1"/>
      <c r="E340" s="1"/>
      <c r="F340" s="1"/>
    </row>
    <row r="341" ht="13.5" customHeight="1">
      <c r="A341" s="1"/>
      <c r="B341" s="1"/>
      <c r="C341" s="1"/>
      <c r="D341" s="1"/>
      <c r="E341" s="1"/>
      <c r="F341" s="1"/>
    </row>
    <row r="342" ht="13.5" customHeight="1">
      <c r="A342" s="1"/>
      <c r="B342" s="1"/>
      <c r="C342" s="1"/>
      <c r="D342" s="1"/>
      <c r="E342" s="1"/>
      <c r="F342" s="1"/>
    </row>
    <row r="343" ht="13.5" customHeight="1">
      <c r="A343" s="1"/>
      <c r="B343" s="1"/>
      <c r="C343" s="1"/>
      <c r="D343" s="1"/>
      <c r="E343" s="1"/>
      <c r="F343" s="1"/>
    </row>
    <row r="344" ht="13.5" customHeight="1">
      <c r="A344" s="1"/>
      <c r="B344" s="1"/>
      <c r="C344" s="1"/>
      <c r="D344" s="1"/>
      <c r="E344" s="1"/>
      <c r="F344" s="1"/>
    </row>
    <row r="345" ht="13.5" customHeight="1">
      <c r="A345" s="1"/>
      <c r="B345" s="1"/>
      <c r="C345" s="1"/>
      <c r="D345" s="1"/>
      <c r="E345" s="1"/>
      <c r="F345" s="1"/>
    </row>
    <row r="346" ht="13.5" customHeight="1">
      <c r="A346" s="1"/>
      <c r="B346" s="1"/>
      <c r="C346" s="1"/>
      <c r="D346" s="1"/>
      <c r="E346" s="1"/>
      <c r="F346" s="1"/>
    </row>
    <row r="347" ht="13.5" customHeight="1">
      <c r="A347" s="1"/>
      <c r="B347" s="1"/>
      <c r="C347" s="1"/>
      <c r="D347" s="1"/>
      <c r="E347" s="1"/>
      <c r="F347" s="1"/>
    </row>
    <row r="348" ht="13.5" customHeight="1">
      <c r="A348" s="1"/>
      <c r="B348" s="1"/>
      <c r="C348" s="1"/>
      <c r="D348" s="1"/>
      <c r="E348" s="1"/>
      <c r="F348" s="1"/>
    </row>
    <row r="349" ht="13.5" customHeight="1">
      <c r="A349" s="1"/>
      <c r="B349" s="1"/>
      <c r="C349" s="1"/>
      <c r="D349" s="1"/>
      <c r="E349" s="1"/>
      <c r="F349" s="1"/>
    </row>
    <row r="350" ht="13.5" customHeight="1">
      <c r="A350" s="1"/>
      <c r="B350" s="1"/>
      <c r="C350" s="1"/>
      <c r="D350" s="1"/>
      <c r="E350" s="1"/>
      <c r="F350" s="1"/>
    </row>
    <row r="351" ht="13.5" customHeight="1">
      <c r="A351" s="1"/>
      <c r="B351" s="1"/>
      <c r="C351" s="1"/>
      <c r="D351" s="1"/>
      <c r="E351" s="1"/>
      <c r="F351" s="1"/>
    </row>
    <row r="352" ht="13.5" customHeight="1">
      <c r="A352" s="1"/>
      <c r="B352" s="1"/>
      <c r="C352" s="1"/>
      <c r="D352" s="1"/>
      <c r="E352" s="1"/>
      <c r="F352" s="1"/>
    </row>
    <row r="353" ht="13.5" customHeight="1">
      <c r="A353" s="1"/>
      <c r="B353" s="1"/>
      <c r="C353" s="1"/>
      <c r="D353" s="1"/>
      <c r="E353" s="1"/>
      <c r="F353" s="1"/>
    </row>
    <row r="354" ht="13.5" customHeight="1">
      <c r="A354" s="1"/>
      <c r="B354" s="1"/>
      <c r="C354" s="1"/>
      <c r="D354" s="1"/>
      <c r="E354" s="1"/>
      <c r="F354" s="1"/>
    </row>
    <row r="355" ht="13.5" customHeight="1">
      <c r="A355" s="1"/>
      <c r="B355" s="1"/>
      <c r="C355" s="1"/>
      <c r="D355" s="1"/>
      <c r="E355" s="1"/>
      <c r="F355" s="1"/>
    </row>
    <row r="356" ht="13.5" customHeight="1">
      <c r="A356" s="1"/>
      <c r="B356" s="1"/>
      <c r="C356" s="1"/>
      <c r="D356" s="1"/>
      <c r="E356" s="1"/>
      <c r="F356" s="1"/>
    </row>
    <row r="357" ht="13.5" customHeight="1">
      <c r="A357" s="1"/>
      <c r="B357" s="1"/>
      <c r="C357" s="1"/>
      <c r="D357" s="1"/>
      <c r="E357" s="1"/>
      <c r="F357" s="1"/>
    </row>
    <row r="358" ht="13.5" customHeight="1">
      <c r="A358" s="1"/>
      <c r="B358" s="1"/>
      <c r="C358" s="1"/>
      <c r="D358" s="1"/>
      <c r="E358" s="1"/>
      <c r="F358" s="1"/>
    </row>
    <row r="359" ht="13.5" customHeight="1">
      <c r="A359" s="1"/>
      <c r="B359" s="1"/>
      <c r="C359" s="1"/>
      <c r="D359" s="1"/>
      <c r="E359" s="1"/>
      <c r="F359" s="1"/>
    </row>
    <row r="360" ht="13.5" customHeight="1">
      <c r="A360" s="1"/>
      <c r="B360" s="1"/>
      <c r="C360" s="1"/>
      <c r="D360" s="1"/>
      <c r="E360" s="1"/>
      <c r="F360" s="1"/>
    </row>
    <row r="361" ht="13.5" customHeight="1">
      <c r="A361" s="1"/>
      <c r="B361" s="1"/>
      <c r="C361" s="1"/>
      <c r="D361" s="1"/>
      <c r="E361" s="1"/>
      <c r="F361" s="1"/>
    </row>
    <row r="362" ht="13.5" customHeight="1">
      <c r="A362" s="1"/>
      <c r="B362" s="1"/>
      <c r="C362" s="1"/>
      <c r="D362" s="1"/>
      <c r="E362" s="1"/>
      <c r="F362" s="1"/>
    </row>
    <row r="363" ht="13.5" customHeight="1">
      <c r="A363" s="1"/>
      <c r="B363" s="1"/>
      <c r="C363" s="1"/>
      <c r="D363" s="1"/>
      <c r="E363" s="1"/>
      <c r="F363" s="1"/>
    </row>
    <row r="364" ht="13.5" customHeight="1">
      <c r="A364" s="1"/>
      <c r="B364" s="1"/>
      <c r="C364" s="1"/>
      <c r="D364" s="1"/>
      <c r="E364" s="1"/>
      <c r="F364" s="1"/>
    </row>
    <row r="365" ht="13.5" customHeight="1">
      <c r="A365" s="1"/>
      <c r="B365" s="1"/>
      <c r="C365" s="1"/>
      <c r="D365" s="1"/>
      <c r="E365" s="1"/>
      <c r="F365" s="1"/>
    </row>
    <row r="366" ht="13.5" customHeight="1">
      <c r="A366" s="1"/>
      <c r="B366" s="1"/>
      <c r="C366" s="1"/>
      <c r="D366" s="1"/>
      <c r="E366" s="1"/>
      <c r="F366" s="1"/>
    </row>
    <row r="367" ht="13.5" customHeight="1">
      <c r="A367" s="1"/>
      <c r="B367" s="1"/>
      <c r="C367" s="1"/>
      <c r="D367" s="1"/>
      <c r="E367" s="1"/>
      <c r="F367" s="1"/>
    </row>
    <row r="368" ht="13.5" customHeight="1">
      <c r="A368" s="1"/>
      <c r="B368" s="1"/>
      <c r="C368" s="1"/>
      <c r="D368" s="1"/>
      <c r="E368" s="1"/>
      <c r="F368" s="1"/>
    </row>
    <row r="369" ht="13.5" customHeight="1">
      <c r="A369" s="1"/>
      <c r="B369" s="1"/>
      <c r="C369" s="1"/>
      <c r="D369" s="1"/>
      <c r="E369" s="1"/>
      <c r="F369" s="1"/>
    </row>
    <row r="370" ht="13.5" customHeight="1">
      <c r="A370" s="1"/>
      <c r="B370" s="1"/>
      <c r="C370" s="1"/>
      <c r="D370" s="1"/>
      <c r="E370" s="1"/>
      <c r="F370" s="1"/>
    </row>
    <row r="371" ht="13.5" customHeight="1">
      <c r="A371" s="1"/>
      <c r="B371" s="1"/>
      <c r="C371" s="1"/>
      <c r="D371" s="1"/>
      <c r="E371" s="1"/>
      <c r="F371" s="1"/>
    </row>
    <row r="372" ht="13.5" customHeight="1">
      <c r="A372" s="1"/>
      <c r="B372" s="1"/>
      <c r="C372" s="1"/>
      <c r="D372" s="1"/>
      <c r="E372" s="1"/>
      <c r="F372" s="1"/>
    </row>
    <row r="373" ht="13.5" customHeight="1">
      <c r="A373" s="1"/>
      <c r="B373" s="1"/>
      <c r="C373" s="1"/>
      <c r="D373" s="1"/>
      <c r="E373" s="1"/>
      <c r="F373" s="1"/>
    </row>
    <row r="374" ht="13.5" customHeight="1">
      <c r="A374" s="1"/>
      <c r="B374" s="1"/>
      <c r="C374" s="1"/>
      <c r="D374" s="1"/>
      <c r="E374" s="1"/>
      <c r="F374" s="1"/>
    </row>
    <row r="375" ht="13.5" customHeight="1">
      <c r="A375" s="1"/>
      <c r="B375" s="1"/>
      <c r="C375" s="1"/>
      <c r="D375" s="1"/>
      <c r="E375" s="1"/>
      <c r="F375" s="1"/>
    </row>
    <row r="376" ht="13.5" customHeight="1">
      <c r="A376" s="1"/>
      <c r="B376" s="1"/>
      <c r="C376" s="1"/>
      <c r="D376" s="1"/>
      <c r="E376" s="1"/>
      <c r="F376" s="1"/>
    </row>
    <row r="377" ht="13.5" customHeight="1">
      <c r="A377" s="1"/>
      <c r="B377" s="1"/>
      <c r="C377" s="1"/>
      <c r="D377" s="1"/>
      <c r="E377" s="1"/>
      <c r="F377" s="1"/>
    </row>
    <row r="378" ht="13.5" customHeight="1">
      <c r="A378" s="1"/>
      <c r="B378" s="1"/>
      <c r="C378" s="1"/>
      <c r="D378" s="1"/>
      <c r="E378" s="1"/>
      <c r="F378" s="1"/>
    </row>
    <row r="379" ht="13.5" customHeight="1">
      <c r="A379" s="1"/>
      <c r="B379" s="1"/>
      <c r="C379" s="1"/>
      <c r="D379" s="1"/>
      <c r="E379" s="1"/>
      <c r="F379" s="1"/>
    </row>
    <row r="380" ht="13.5" customHeight="1">
      <c r="A380" s="1"/>
      <c r="B380" s="1"/>
      <c r="C380" s="1"/>
      <c r="D380" s="1"/>
      <c r="E380" s="1"/>
      <c r="F380" s="1"/>
    </row>
    <row r="381" ht="13.5" customHeight="1">
      <c r="A381" s="1"/>
      <c r="B381" s="1"/>
      <c r="C381" s="1"/>
      <c r="D381" s="1"/>
      <c r="E381" s="1"/>
      <c r="F381" s="1"/>
    </row>
    <row r="382" ht="13.5" customHeight="1">
      <c r="A382" s="1"/>
      <c r="B382" s="1"/>
      <c r="C382" s="1"/>
      <c r="D382" s="1"/>
      <c r="E382" s="1"/>
      <c r="F382" s="1"/>
    </row>
    <row r="383" ht="13.5" customHeight="1">
      <c r="A383" s="1"/>
      <c r="B383" s="1"/>
      <c r="C383" s="1"/>
      <c r="D383" s="1"/>
      <c r="E383" s="1"/>
      <c r="F383" s="1"/>
    </row>
    <row r="384" ht="13.5" customHeight="1">
      <c r="A384" s="1"/>
      <c r="B384" s="1"/>
      <c r="C384" s="1"/>
      <c r="D384" s="1"/>
      <c r="E384" s="1"/>
      <c r="F384" s="1"/>
    </row>
    <row r="385" ht="13.5" customHeight="1">
      <c r="A385" s="1"/>
      <c r="B385" s="1"/>
      <c r="C385" s="1"/>
      <c r="D385" s="1"/>
      <c r="E385" s="1"/>
      <c r="F385" s="1"/>
    </row>
    <row r="386" ht="13.5" customHeight="1">
      <c r="A386" s="1"/>
      <c r="B386" s="1"/>
      <c r="C386" s="1"/>
      <c r="D386" s="1"/>
      <c r="E386" s="1"/>
      <c r="F386" s="1"/>
    </row>
    <row r="387" ht="13.5" customHeight="1">
      <c r="A387" s="1"/>
      <c r="B387" s="1"/>
      <c r="C387" s="1"/>
      <c r="D387" s="1"/>
      <c r="E387" s="1"/>
      <c r="F387" s="1"/>
    </row>
    <row r="388" ht="13.5" customHeight="1">
      <c r="A388" s="1"/>
      <c r="B388" s="1"/>
      <c r="C388" s="1"/>
      <c r="D388" s="1"/>
      <c r="E388" s="1"/>
      <c r="F388" s="1"/>
    </row>
    <row r="389" ht="13.5" customHeight="1">
      <c r="A389" s="1"/>
      <c r="B389" s="1"/>
      <c r="C389" s="1"/>
      <c r="D389" s="1"/>
      <c r="E389" s="1"/>
      <c r="F389" s="1"/>
    </row>
    <row r="390" ht="13.5" customHeight="1">
      <c r="A390" s="1"/>
      <c r="B390" s="1"/>
      <c r="C390" s="1"/>
      <c r="D390" s="1"/>
      <c r="E390" s="1"/>
      <c r="F390" s="1"/>
    </row>
    <row r="391" ht="13.5" customHeight="1">
      <c r="A391" s="1"/>
      <c r="B391" s="1"/>
      <c r="C391" s="1"/>
      <c r="D391" s="1"/>
      <c r="E391" s="1"/>
      <c r="F391" s="1"/>
    </row>
    <row r="392" ht="13.5" customHeight="1">
      <c r="A392" s="1"/>
      <c r="B392" s="1"/>
      <c r="C392" s="1"/>
      <c r="D392" s="1"/>
      <c r="E392" s="1"/>
      <c r="F392" s="1"/>
    </row>
    <row r="393" ht="13.5" customHeight="1">
      <c r="A393" s="1"/>
      <c r="B393" s="1"/>
      <c r="C393" s="1"/>
      <c r="D393" s="1"/>
      <c r="E393" s="1"/>
      <c r="F393" s="1"/>
    </row>
    <row r="394" ht="13.5" customHeight="1">
      <c r="A394" s="1"/>
      <c r="B394" s="1"/>
      <c r="C394" s="1"/>
      <c r="D394" s="1"/>
      <c r="E394" s="1"/>
      <c r="F394" s="1"/>
    </row>
    <row r="395" ht="13.5" customHeight="1">
      <c r="A395" s="1"/>
      <c r="B395" s="1"/>
      <c r="C395" s="1"/>
      <c r="D395" s="1"/>
      <c r="E395" s="1"/>
      <c r="F395" s="1"/>
    </row>
    <row r="396" ht="13.5" customHeight="1">
      <c r="A396" s="1"/>
      <c r="B396" s="1"/>
      <c r="C396" s="1"/>
      <c r="D396" s="1"/>
      <c r="E396" s="1"/>
      <c r="F396" s="1"/>
    </row>
    <row r="397" ht="13.5" customHeight="1">
      <c r="A397" s="1"/>
      <c r="B397" s="1"/>
      <c r="C397" s="1"/>
      <c r="D397" s="1"/>
      <c r="E397" s="1"/>
      <c r="F397" s="1"/>
    </row>
    <row r="398" ht="13.5" customHeight="1">
      <c r="A398" s="1"/>
      <c r="B398" s="1"/>
      <c r="C398" s="1"/>
      <c r="D398" s="1"/>
      <c r="E398" s="1"/>
      <c r="F398" s="1"/>
    </row>
    <row r="399" ht="13.5" customHeight="1">
      <c r="A399" s="1"/>
      <c r="B399" s="1"/>
      <c r="C399" s="1"/>
      <c r="D399" s="1"/>
      <c r="E399" s="1"/>
      <c r="F399" s="1"/>
    </row>
    <row r="400" ht="13.5" customHeight="1">
      <c r="A400" s="1"/>
      <c r="B400" s="1"/>
      <c r="C400" s="1"/>
      <c r="D400" s="1"/>
      <c r="E400" s="1"/>
      <c r="F400" s="1"/>
    </row>
    <row r="401" ht="13.5" customHeight="1">
      <c r="A401" s="1"/>
      <c r="B401" s="1"/>
      <c r="C401" s="1"/>
      <c r="D401" s="1"/>
      <c r="E401" s="1"/>
      <c r="F401" s="1"/>
    </row>
    <row r="402" ht="13.5" customHeight="1">
      <c r="A402" s="1"/>
      <c r="B402" s="1"/>
      <c r="C402" s="1"/>
      <c r="D402" s="1"/>
      <c r="E402" s="1"/>
      <c r="F402" s="1"/>
    </row>
    <row r="403" ht="13.5" customHeight="1">
      <c r="A403" s="1"/>
      <c r="B403" s="1"/>
      <c r="C403" s="1"/>
      <c r="D403" s="1"/>
      <c r="E403" s="1"/>
      <c r="F403" s="1"/>
    </row>
    <row r="404" ht="13.5" customHeight="1">
      <c r="A404" s="1"/>
      <c r="B404" s="1"/>
      <c r="C404" s="1"/>
      <c r="D404" s="1"/>
      <c r="E404" s="1"/>
      <c r="F404" s="1"/>
    </row>
    <row r="405" ht="13.5" customHeight="1">
      <c r="A405" s="1"/>
      <c r="B405" s="1"/>
      <c r="C405" s="1"/>
      <c r="D405" s="1"/>
      <c r="E405" s="1"/>
      <c r="F405" s="1"/>
    </row>
    <row r="406" ht="13.5" customHeight="1">
      <c r="A406" s="1"/>
      <c r="B406" s="1"/>
      <c r="C406" s="1"/>
      <c r="D406" s="1"/>
      <c r="E406" s="1"/>
      <c r="F406" s="1"/>
    </row>
    <row r="407" ht="13.5" customHeight="1">
      <c r="A407" s="1"/>
      <c r="B407" s="1"/>
      <c r="C407" s="1"/>
      <c r="D407" s="1"/>
      <c r="E407" s="1"/>
      <c r="F407" s="1"/>
    </row>
    <row r="408" ht="13.5" customHeight="1">
      <c r="A408" s="1"/>
      <c r="B408" s="1"/>
      <c r="C408" s="1"/>
      <c r="D408" s="1"/>
      <c r="E408" s="1"/>
      <c r="F408" s="1"/>
    </row>
    <row r="409" ht="13.5" customHeight="1">
      <c r="A409" s="1"/>
      <c r="B409" s="1"/>
      <c r="C409" s="1"/>
      <c r="D409" s="1"/>
      <c r="E409" s="1"/>
      <c r="F409" s="1"/>
    </row>
    <row r="410" ht="13.5" customHeight="1">
      <c r="A410" s="1"/>
      <c r="B410" s="1"/>
      <c r="C410" s="1"/>
      <c r="D410" s="1"/>
      <c r="E410" s="1"/>
      <c r="F410" s="1"/>
    </row>
    <row r="411" ht="13.5" customHeight="1">
      <c r="A411" s="1"/>
      <c r="B411" s="1"/>
      <c r="C411" s="1"/>
      <c r="D411" s="1"/>
      <c r="E411" s="1"/>
      <c r="F411" s="1"/>
    </row>
    <row r="412" ht="13.5" customHeight="1">
      <c r="A412" s="1"/>
      <c r="B412" s="1"/>
      <c r="C412" s="1"/>
      <c r="D412" s="1"/>
      <c r="E412" s="1"/>
      <c r="F412" s="1"/>
    </row>
    <row r="413" ht="13.5" customHeight="1">
      <c r="A413" s="1"/>
      <c r="B413" s="1"/>
      <c r="C413" s="1"/>
      <c r="D413" s="1"/>
      <c r="E413" s="1"/>
      <c r="F413" s="1"/>
    </row>
    <row r="414" ht="13.5" customHeight="1">
      <c r="A414" s="1"/>
      <c r="B414" s="1"/>
      <c r="C414" s="1"/>
      <c r="D414" s="1"/>
      <c r="E414" s="1"/>
      <c r="F414" s="1"/>
    </row>
    <row r="415" ht="13.5" customHeight="1">
      <c r="A415" s="1"/>
      <c r="B415" s="1"/>
      <c r="C415" s="1"/>
      <c r="D415" s="1"/>
      <c r="E415" s="1"/>
      <c r="F415" s="1"/>
    </row>
    <row r="416" ht="13.5" customHeight="1">
      <c r="A416" s="1"/>
      <c r="B416" s="1"/>
      <c r="C416" s="1"/>
      <c r="D416" s="1"/>
      <c r="E416" s="1"/>
      <c r="F416" s="1"/>
    </row>
    <row r="417" ht="13.5" customHeight="1">
      <c r="A417" s="1"/>
      <c r="B417" s="1"/>
      <c r="C417" s="1"/>
      <c r="D417" s="1"/>
      <c r="E417" s="1"/>
      <c r="F417" s="1"/>
    </row>
    <row r="418" ht="13.5" customHeight="1">
      <c r="A418" s="1"/>
      <c r="B418" s="1"/>
      <c r="C418" s="1"/>
      <c r="D418" s="1"/>
      <c r="E418" s="1"/>
      <c r="F418" s="1"/>
    </row>
    <row r="419" ht="13.5" customHeight="1">
      <c r="A419" s="1"/>
      <c r="B419" s="1"/>
      <c r="C419" s="1"/>
      <c r="D419" s="1"/>
      <c r="E419" s="1"/>
      <c r="F419" s="1"/>
    </row>
    <row r="420" ht="13.5" customHeight="1">
      <c r="A420" s="1"/>
      <c r="B420" s="1"/>
      <c r="C420" s="1"/>
      <c r="D420" s="1"/>
      <c r="E420" s="1"/>
      <c r="F420" s="1"/>
    </row>
    <row r="421" ht="13.5" customHeight="1">
      <c r="A421" s="1"/>
      <c r="B421" s="1"/>
      <c r="C421" s="1"/>
      <c r="D421" s="1"/>
      <c r="E421" s="1"/>
      <c r="F421" s="1"/>
    </row>
    <row r="422" ht="13.5" customHeight="1">
      <c r="A422" s="1"/>
      <c r="B422" s="1"/>
      <c r="C422" s="1"/>
      <c r="D422" s="1"/>
      <c r="E422" s="1"/>
      <c r="F422" s="1"/>
    </row>
    <row r="423" ht="13.5" customHeight="1">
      <c r="A423" s="1"/>
      <c r="B423" s="1"/>
      <c r="C423" s="1"/>
      <c r="D423" s="1"/>
      <c r="E423" s="1"/>
      <c r="F423" s="1"/>
    </row>
    <row r="424" ht="13.5" customHeight="1">
      <c r="A424" s="1"/>
      <c r="B424" s="1"/>
      <c r="C424" s="1"/>
      <c r="D424" s="1"/>
      <c r="E424" s="1"/>
      <c r="F424" s="1"/>
    </row>
    <row r="425" ht="13.5" customHeight="1">
      <c r="A425" s="1"/>
      <c r="B425" s="1"/>
      <c r="C425" s="1"/>
      <c r="D425" s="1"/>
      <c r="E425" s="1"/>
      <c r="F425" s="1"/>
    </row>
    <row r="426" ht="13.5" customHeight="1">
      <c r="A426" s="1"/>
      <c r="B426" s="1"/>
      <c r="C426" s="1"/>
      <c r="D426" s="1"/>
      <c r="E426" s="1"/>
      <c r="F426" s="1"/>
    </row>
    <row r="427" ht="13.5" customHeight="1">
      <c r="A427" s="1"/>
      <c r="B427" s="1"/>
      <c r="C427" s="1"/>
      <c r="D427" s="1"/>
      <c r="E427" s="1"/>
      <c r="F427" s="1"/>
    </row>
    <row r="428" ht="13.5" customHeight="1">
      <c r="A428" s="1"/>
      <c r="B428" s="1"/>
      <c r="C428" s="1"/>
      <c r="D428" s="1"/>
      <c r="E428" s="1"/>
      <c r="F428" s="1"/>
    </row>
    <row r="429" ht="13.5" customHeight="1">
      <c r="A429" s="1"/>
      <c r="B429" s="1"/>
      <c r="C429" s="1"/>
      <c r="D429" s="1"/>
      <c r="E429" s="1"/>
      <c r="F429" s="1"/>
    </row>
    <row r="430" ht="13.5" customHeight="1">
      <c r="A430" s="1"/>
      <c r="B430" s="1"/>
      <c r="C430" s="1"/>
      <c r="D430" s="1"/>
      <c r="E430" s="1"/>
      <c r="F430" s="1"/>
    </row>
    <row r="431" ht="13.5" customHeight="1">
      <c r="A431" s="1"/>
      <c r="B431" s="1"/>
      <c r="C431" s="1"/>
      <c r="D431" s="1"/>
      <c r="E431" s="1"/>
      <c r="F431" s="1"/>
    </row>
    <row r="432" ht="13.5" customHeight="1">
      <c r="A432" s="1"/>
      <c r="B432" s="1"/>
      <c r="C432" s="1"/>
      <c r="D432" s="1"/>
      <c r="E432" s="1"/>
      <c r="F432" s="1"/>
    </row>
    <row r="433" ht="13.5" customHeight="1">
      <c r="A433" s="1"/>
      <c r="B433" s="1"/>
      <c r="C433" s="1"/>
      <c r="D433" s="1"/>
      <c r="E433" s="1"/>
      <c r="F433" s="1"/>
    </row>
    <row r="434" ht="13.5" customHeight="1">
      <c r="A434" s="1"/>
      <c r="B434" s="1"/>
      <c r="C434" s="1"/>
      <c r="D434" s="1"/>
      <c r="E434" s="1"/>
      <c r="F434" s="1"/>
    </row>
    <row r="435" ht="13.5" customHeight="1">
      <c r="A435" s="1"/>
      <c r="B435" s="1"/>
      <c r="C435" s="1"/>
      <c r="D435" s="1"/>
      <c r="E435" s="1"/>
      <c r="F435" s="1"/>
    </row>
    <row r="436" ht="13.5" customHeight="1">
      <c r="A436" s="1"/>
      <c r="B436" s="1"/>
      <c r="C436" s="1"/>
      <c r="D436" s="1"/>
      <c r="E436" s="1"/>
      <c r="F436" s="1"/>
    </row>
    <row r="437" ht="13.5" customHeight="1">
      <c r="A437" s="1"/>
      <c r="B437" s="1"/>
      <c r="C437" s="1"/>
      <c r="D437" s="1"/>
      <c r="E437" s="1"/>
      <c r="F437" s="1"/>
    </row>
    <row r="438" ht="13.5" customHeight="1">
      <c r="A438" s="1"/>
      <c r="B438" s="1"/>
      <c r="C438" s="1"/>
      <c r="D438" s="1"/>
      <c r="E438" s="1"/>
      <c r="F438" s="1"/>
    </row>
    <row r="439" ht="13.5" customHeight="1">
      <c r="A439" s="1"/>
      <c r="B439" s="1"/>
      <c r="C439" s="1"/>
      <c r="D439" s="1"/>
      <c r="E439" s="1"/>
      <c r="F439" s="1"/>
    </row>
    <row r="440" ht="13.5" customHeight="1">
      <c r="A440" s="1"/>
      <c r="B440" s="1"/>
      <c r="C440" s="1"/>
      <c r="D440" s="1"/>
      <c r="E440" s="1"/>
      <c r="F440" s="1"/>
    </row>
    <row r="441" ht="13.5" customHeight="1">
      <c r="A441" s="1"/>
      <c r="B441" s="1"/>
      <c r="C441" s="1"/>
      <c r="D441" s="1"/>
      <c r="E441" s="1"/>
      <c r="F441" s="1"/>
    </row>
    <row r="442" ht="13.5" customHeight="1">
      <c r="A442" s="1"/>
      <c r="B442" s="1"/>
      <c r="C442" s="1"/>
      <c r="D442" s="1"/>
      <c r="E442" s="1"/>
      <c r="F442" s="1"/>
    </row>
    <row r="443" ht="13.5" customHeight="1">
      <c r="A443" s="1"/>
      <c r="B443" s="1"/>
      <c r="C443" s="1"/>
      <c r="D443" s="1"/>
      <c r="E443" s="1"/>
      <c r="F443" s="1"/>
    </row>
    <row r="444" ht="13.5" customHeight="1">
      <c r="A444" s="1"/>
      <c r="B444" s="1"/>
      <c r="C444" s="1"/>
      <c r="D444" s="1"/>
      <c r="E444" s="1"/>
      <c r="F444" s="1"/>
    </row>
    <row r="445" ht="13.5" customHeight="1">
      <c r="A445" s="1"/>
      <c r="B445" s="1"/>
      <c r="C445" s="1"/>
      <c r="D445" s="1"/>
      <c r="E445" s="1"/>
      <c r="F445" s="1"/>
    </row>
    <row r="446" ht="13.5" customHeight="1">
      <c r="A446" s="1"/>
      <c r="B446" s="1"/>
      <c r="C446" s="1"/>
      <c r="D446" s="1"/>
      <c r="E446" s="1"/>
      <c r="F446" s="1"/>
    </row>
    <row r="447" ht="13.5" customHeight="1">
      <c r="A447" s="1"/>
      <c r="B447" s="1"/>
      <c r="C447" s="1"/>
      <c r="D447" s="1"/>
      <c r="E447" s="1"/>
      <c r="F447" s="1"/>
    </row>
    <row r="448" ht="13.5" customHeight="1">
      <c r="A448" s="1"/>
      <c r="B448" s="1"/>
      <c r="C448" s="1"/>
      <c r="D448" s="1"/>
      <c r="E448" s="1"/>
      <c r="F448" s="1"/>
    </row>
    <row r="449" ht="13.5" customHeight="1">
      <c r="A449" s="1"/>
      <c r="B449" s="1"/>
      <c r="C449" s="1"/>
      <c r="D449" s="1"/>
      <c r="E449" s="1"/>
      <c r="F449" s="1"/>
    </row>
    <row r="450" ht="13.5" customHeight="1">
      <c r="A450" s="1"/>
      <c r="B450" s="1"/>
      <c r="C450" s="1"/>
      <c r="D450" s="1"/>
      <c r="E450" s="1"/>
      <c r="F450" s="1"/>
    </row>
    <row r="451" ht="13.5" customHeight="1">
      <c r="A451" s="1"/>
      <c r="B451" s="1"/>
      <c r="C451" s="1"/>
      <c r="D451" s="1"/>
      <c r="E451" s="1"/>
      <c r="F451" s="1"/>
    </row>
    <row r="452" ht="13.5" customHeight="1">
      <c r="A452" s="1"/>
      <c r="B452" s="1"/>
      <c r="C452" s="1"/>
      <c r="D452" s="1"/>
      <c r="E452" s="1"/>
      <c r="F452" s="1"/>
    </row>
    <row r="453" ht="13.5" customHeight="1">
      <c r="A453" s="1"/>
      <c r="B453" s="1"/>
      <c r="C453" s="1"/>
      <c r="D453" s="1"/>
      <c r="E453" s="1"/>
      <c r="F453" s="1"/>
    </row>
    <row r="454" ht="13.5" customHeight="1">
      <c r="A454" s="1"/>
      <c r="B454" s="1"/>
      <c r="C454" s="1"/>
      <c r="D454" s="1"/>
      <c r="E454" s="1"/>
      <c r="F454" s="1"/>
    </row>
    <row r="455" ht="13.5" customHeight="1">
      <c r="A455" s="1"/>
      <c r="B455" s="1"/>
      <c r="C455" s="1"/>
      <c r="D455" s="1"/>
      <c r="E455" s="1"/>
      <c r="F455" s="1"/>
    </row>
    <row r="456" ht="13.5" customHeight="1">
      <c r="A456" s="1"/>
      <c r="B456" s="1"/>
      <c r="C456" s="1"/>
      <c r="D456" s="1"/>
      <c r="E456" s="1"/>
      <c r="F456" s="1"/>
    </row>
    <row r="457" ht="13.5" customHeight="1">
      <c r="A457" s="1"/>
      <c r="B457" s="1"/>
      <c r="C457" s="1"/>
      <c r="D457" s="1"/>
      <c r="E457" s="1"/>
      <c r="F457" s="1"/>
    </row>
    <row r="458" ht="13.5" customHeight="1">
      <c r="A458" s="1"/>
      <c r="B458" s="1"/>
      <c r="C458" s="1"/>
      <c r="D458" s="1"/>
      <c r="E458" s="1"/>
      <c r="F458" s="1"/>
    </row>
    <row r="459" ht="13.5" customHeight="1">
      <c r="A459" s="1"/>
      <c r="B459" s="1"/>
      <c r="C459" s="1"/>
      <c r="D459" s="1"/>
      <c r="E459" s="1"/>
      <c r="F459" s="1"/>
    </row>
    <row r="460" ht="13.5" customHeight="1">
      <c r="A460" s="1"/>
      <c r="B460" s="1"/>
      <c r="C460" s="1"/>
      <c r="D460" s="1"/>
      <c r="E460" s="1"/>
      <c r="F460" s="1"/>
    </row>
    <row r="461" ht="13.5" customHeight="1">
      <c r="A461" s="1"/>
      <c r="B461" s="1"/>
      <c r="C461" s="1"/>
      <c r="D461" s="1"/>
      <c r="E461" s="1"/>
      <c r="F461" s="1"/>
    </row>
    <row r="462" ht="13.5" customHeight="1">
      <c r="A462" s="1"/>
      <c r="B462" s="1"/>
      <c r="C462" s="1"/>
      <c r="D462" s="1"/>
      <c r="E462" s="1"/>
      <c r="F462" s="1"/>
    </row>
    <row r="463" ht="13.5" customHeight="1">
      <c r="A463" s="1"/>
      <c r="B463" s="1"/>
      <c r="C463" s="1"/>
      <c r="D463" s="1"/>
      <c r="E463" s="1"/>
      <c r="F463" s="1"/>
    </row>
    <row r="464" ht="13.5" customHeight="1">
      <c r="A464" s="1"/>
      <c r="B464" s="1"/>
      <c r="C464" s="1"/>
      <c r="D464" s="1"/>
      <c r="E464" s="1"/>
      <c r="F464" s="1"/>
    </row>
    <row r="465" ht="13.5" customHeight="1">
      <c r="A465" s="1"/>
      <c r="B465" s="1"/>
      <c r="C465" s="1"/>
      <c r="D465" s="1"/>
      <c r="E465" s="1"/>
      <c r="F465" s="1"/>
    </row>
    <row r="466" ht="13.5" customHeight="1">
      <c r="A466" s="1"/>
      <c r="B466" s="1"/>
      <c r="C466" s="1"/>
      <c r="D466" s="1"/>
      <c r="E466" s="1"/>
      <c r="F466" s="1"/>
    </row>
    <row r="467" ht="13.5" customHeight="1">
      <c r="A467" s="1"/>
      <c r="B467" s="1"/>
      <c r="C467" s="1"/>
      <c r="D467" s="1"/>
      <c r="E467" s="1"/>
      <c r="F467" s="1"/>
    </row>
    <row r="468" ht="13.5" customHeight="1">
      <c r="A468" s="1"/>
      <c r="B468" s="1"/>
      <c r="C468" s="1"/>
      <c r="D468" s="1"/>
      <c r="E468" s="1"/>
      <c r="F468" s="1"/>
    </row>
    <row r="469" ht="13.5" customHeight="1">
      <c r="A469" s="1"/>
      <c r="B469" s="1"/>
      <c r="C469" s="1"/>
      <c r="D469" s="1"/>
      <c r="E469" s="1"/>
      <c r="F469" s="1"/>
    </row>
    <row r="470" ht="13.5" customHeight="1">
      <c r="A470" s="1"/>
      <c r="B470" s="1"/>
      <c r="C470" s="1"/>
      <c r="D470" s="1"/>
      <c r="E470" s="1"/>
      <c r="F470" s="1"/>
    </row>
    <row r="471" ht="13.5" customHeight="1">
      <c r="A471" s="1"/>
      <c r="B471" s="1"/>
      <c r="C471" s="1"/>
      <c r="D471" s="1"/>
      <c r="E471" s="1"/>
      <c r="F471" s="1"/>
    </row>
    <row r="472" ht="13.5" customHeight="1">
      <c r="A472" s="1"/>
      <c r="B472" s="1"/>
      <c r="C472" s="1"/>
      <c r="D472" s="1"/>
      <c r="E472" s="1"/>
      <c r="F472" s="1"/>
    </row>
    <row r="473" ht="13.5" customHeight="1">
      <c r="A473" s="1"/>
      <c r="B473" s="1"/>
      <c r="C473" s="1"/>
      <c r="D473" s="1"/>
      <c r="E473" s="1"/>
      <c r="F473" s="1"/>
    </row>
    <row r="474" ht="13.5" customHeight="1">
      <c r="A474" s="1"/>
      <c r="B474" s="1"/>
      <c r="C474" s="1"/>
      <c r="D474" s="1"/>
      <c r="E474" s="1"/>
      <c r="F474" s="1"/>
    </row>
    <row r="475" ht="13.5" customHeight="1">
      <c r="A475" s="1"/>
      <c r="B475" s="1"/>
      <c r="C475" s="1"/>
      <c r="D475" s="1"/>
      <c r="E475" s="1"/>
      <c r="F475" s="1"/>
    </row>
    <row r="476" ht="13.5" customHeight="1">
      <c r="A476" s="1"/>
      <c r="B476" s="1"/>
      <c r="C476" s="1"/>
      <c r="D476" s="1"/>
      <c r="E476" s="1"/>
      <c r="F476" s="1"/>
    </row>
    <row r="477" ht="13.5" customHeight="1">
      <c r="A477" s="1"/>
      <c r="B477" s="1"/>
      <c r="C477" s="1"/>
      <c r="D477" s="1"/>
      <c r="E477" s="1"/>
      <c r="F477" s="1"/>
    </row>
    <row r="478" ht="13.5" customHeight="1">
      <c r="A478" s="1"/>
      <c r="B478" s="1"/>
      <c r="C478" s="1"/>
      <c r="D478" s="1"/>
      <c r="E478" s="1"/>
      <c r="F478" s="1"/>
    </row>
    <row r="479" ht="13.5" customHeight="1">
      <c r="A479" s="1"/>
      <c r="B479" s="1"/>
      <c r="C479" s="1"/>
      <c r="D479" s="1"/>
      <c r="E479" s="1"/>
      <c r="F479" s="1"/>
    </row>
    <row r="480" ht="13.5" customHeight="1">
      <c r="A480" s="1"/>
      <c r="B480" s="1"/>
      <c r="C480" s="1"/>
      <c r="D480" s="1"/>
      <c r="E480" s="1"/>
      <c r="F480" s="1"/>
    </row>
    <row r="481" ht="13.5" customHeight="1">
      <c r="A481" s="1"/>
      <c r="B481" s="1"/>
      <c r="C481" s="1"/>
      <c r="D481" s="1"/>
      <c r="E481" s="1"/>
      <c r="F481" s="1"/>
    </row>
    <row r="482" ht="13.5" customHeight="1">
      <c r="A482" s="1"/>
      <c r="B482" s="1"/>
      <c r="C482" s="1"/>
      <c r="D482" s="1"/>
      <c r="E482" s="1"/>
      <c r="F482" s="1"/>
    </row>
    <row r="483" ht="13.5" customHeight="1">
      <c r="A483" s="1"/>
      <c r="B483" s="1"/>
      <c r="C483" s="1"/>
      <c r="D483" s="1"/>
      <c r="E483" s="1"/>
      <c r="F483" s="1"/>
    </row>
    <row r="484" ht="13.5" customHeight="1">
      <c r="A484" s="1"/>
      <c r="B484" s="1"/>
      <c r="C484" s="1"/>
      <c r="D484" s="1"/>
      <c r="E484" s="1"/>
      <c r="F484" s="1"/>
    </row>
    <row r="485" ht="13.5" customHeight="1">
      <c r="A485" s="1"/>
      <c r="B485" s="1"/>
      <c r="C485" s="1"/>
      <c r="D485" s="1"/>
      <c r="E485" s="1"/>
      <c r="F485" s="1"/>
    </row>
    <row r="486" ht="13.5" customHeight="1">
      <c r="A486" s="1"/>
      <c r="B486" s="1"/>
      <c r="C486" s="1"/>
      <c r="D486" s="1"/>
      <c r="E486" s="1"/>
      <c r="F486" s="1"/>
    </row>
    <row r="487" ht="13.5" customHeight="1">
      <c r="A487" s="1"/>
      <c r="B487" s="1"/>
      <c r="C487" s="1"/>
      <c r="D487" s="1"/>
      <c r="E487" s="1"/>
      <c r="F487" s="1"/>
    </row>
    <row r="488" ht="13.5" customHeight="1">
      <c r="A488" s="1"/>
      <c r="B488" s="1"/>
      <c r="C488" s="1"/>
      <c r="D488" s="1"/>
      <c r="E488" s="1"/>
      <c r="F488" s="1"/>
    </row>
    <row r="489" ht="13.5" customHeight="1">
      <c r="A489" s="1"/>
      <c r="B489" s="1"/>
      <c r="C489" s="1"/>
      <c r="D489" s="1"/>
      <c r="E489" s="1"/>
      <c r="F489" s="1"/>
    </row>
    <row r="490" ht="13.5" customHeight="1">
      <c r="A490" s="1"/>
      <c r="B490" s="1"/>
      <c r="C490" s="1"/>
      <c r="D490" s="1"/>
      <c r="E490" s="1"/>
      <c r="F490" s="1"/>
    </row>
    <row r="491" ht="13.5" customHeight="1">
      <c r="A491" s="1"/>
      <c r="B491" s="1"/>
      <c r="C491" s="1"/>
      <c r="D491" s="1"/>
      <c r="E491" s="1"/>
      <c r="F491" s="1"/>
    </row>
    <row r="492" ht="13.5" customHeight="1">
      <c r="A492" s="1"/>
      <c r="B492" s="1"/>
      <c r="C492" s="1"/>
      <c r="D492" s="1"/>
      <c r="E492" s="1"/>
      <c r="F492" s="1"/>
    </row>
    <row r="493" ht="13.5" customHeight="1">
      <c r="A493" s="1"/>
      <c r="B493" s="1"/>
      <c r="C493" s="1"/>
      <c r="D493" s="1"/>
      <c r="E493" s="1"/>
      <c r="F493" s="1"/>
    </row>
    <row r="494" ht="13.5" customHeight="1">
      <c r="A494" s="1"/>
      <c r="B494" s="1"/>
      <c r="C494" s="1"/>
      <c r="D494" s="1"/>
      <c r="E494" s="1"/>
      <c r="F494" s="1"/>
    </row>
    <row r="495" ht="13.5" customHeight="1">
      <c r="A495" s="1"/>
      <c r="B495" s="1"/>
      <c r="C495" s="1"/>
      <c r="D495" s="1"/>
      <c r="E495" s="1"/>
      <c r="F495" s="1"/>
    </row>
    <row r="496" ht="13.5" customHeight="1">
      <c r="A496" s="1"/>
      <c r="B496" s="1"/>
      <c r="C496" s="1"/>
      <c r="D496" s="1"/>
      <c r="E496" s="1"/>
      <c r="F496" s="1"/>
    </row>
    <row r="497" ht="13.5" customHeight="1">
      <c r="A497" s="1"/>
      <c r="B497" s="1"/>
      <c r="C497" s="1"/>
      <c r="D497" s="1"/>
      <c r="E497" s="1"/>
      <c r="F497" s="1"/>
    </row>
    <row r="498" ht="13.5" customHeight="1">
      <c r="A498" s="1"/>
      <c r="B498" s="1"/>
      <c r="C498" s="1"/>
      <c r="D498" s="1"/>
      <c r="E498" s="1"/>
      <c r="F498" s="1"/>
    </row>
    <row r="499" ht="13.5" customHeight="1">
      <c r="A499" s="1"/>
      <c r="B499" s="1"/>
      <c r="C499" s="1"/>
      <c r="D499" s="1"/>
      <c r="E499" s="1"/>
      <c r="F499" s="1"/>
    </row>
    <row r="500" ht="13.5" customHeight="1">
      <c r="A500" s="1"/>
      <c r="B500" s="1"/>
      <c r="C500" s="1"/>
      <c r="D500" s="1"/>
      <c r="E500" s="1"/>
      <c r="F500" s="1"/>
    </row>
    <row r="501" ht="13.5" customHeight="1">
      <c r="A501" s="1"/>
      <c r="B501" s="1"/>
      <c r="C501" s="1"/>
      <c r="D501" s="1"/>
      <c r="E501" s="1"/>
      <c r="F501" s="1"/>
    </row>
    <row r="502" ht="13.5" customHeight="1">
      <c r="A502" s="1"/>
      <c r="B502" s="1"/>
      <c r="C502" s="1"/>
      <c r="D502" s="1"/>
      <c r="E502" s="1"/>
      <c r="F502" s="1"/>
    </row>
    <row r="503" ht="13.5" customHeight="1">
      <c r="A503" s="1"/>
      <c r="B503" s="1"/>
      <c r="C503" s="1"/>
      <c r="D503" s="1"/>
      <c r="E503" s="1"/>
      <c r="F503" s="1"/>
    </row>
    <row r="504" ht="13.5" customHeight="1">
      <c r="A504" s="1"/>
      <c r="B504" s="1"/>
      <c r="C504" s="1"/>
      <c r="D504" s="1"/>
      <c r="E504" s="1"/>
      <c r="F504" s="1"/>
    </row>
    <row r="505" ht="13.5" customHeight="1">
      <c r="A505" s="1"/>
      <c r="B505" s="1"/>
      <c r="C505" s="1"/>
      <c r="D505" s="1"/>
      <c r="E505" s="1"/>
      <c r="F505" s="1"/>
    </row>
    <row r="506" ht="13.5" customHeight="1">
      <c r="A506" s="1"/>
      <c r="B506" s="1"/>
      <c r="C506" s="1"/>
      <c r="D506" s="1"/>
      <c r="E506" s="1"/>
      <c r="F506" s="1"/>
    </row>
    <row r="507" ht="13.5" customHeight="1">
      <c r="A507" s="1"/>
      <c r="B507" s="1"/>
      <c r="C507" s="1"/>
      <c r="D507" s="1"/>
      <c r="E507" s="1"/>
      <c r="F507" s="1"/>
    </row>
    <row r="508" ht="13.5" customHeight="1">
      <c r="A508" s="1"/>
      <c r="B508" s="1"/>
      <c r="C508" s="1"/>
      <c r="D508" s="1"/>
      <c r="E508" s="1"/>
      <c r="F508" s="1"/>
    </row>
    <row r="509" ht="13.5" customHeight="1">
      <c r="A509" s="1"/>
      <c r="B509" s="1"/>
      <c r="C509" s="1"/>
      <c r="D509" s="1"/>
      <c r="E509" s="1"/>
      <c r="F509" s="1"/>
    </row>
    <row r="510" ht="13.5" customHeight="1">
      <c r="A510" s="1"/>
      <c r="B510" s="1"/>
      <c r="C510" s="1"/>
      <c r="D510" s="1"/>
      <c r="E510" s="1"/>
      <c r="F510" s="1"/>
    </row>
    <row r="511" ht="13.5" customHeight="1">
      <c r="A511" s="1"/>
      <c r="B511" s="1"/>
      <c r="C511" s="1"/>
      <c r="D511" s="1"/>
      <c r="E511" s="1"/>
      <c r="F511" s="1"/>
    </row>
    <row r="512" ht="13.5" customHeight="1">
      <c r="A512" s="1"/>
      <c r="B512" s="1"/>
      <c r="C512" s="1"/>
      <c r="D512" s="1"/>
      <c r="E512" s="1"/>
      <c r="F512" s="1"/>
    </row>
    <row r="513" ht="13.5" customHeight="1">
      <c r="A513" s="1"/>
      <c r="B513" s="1"/>
      <c r="C513" s="1"/>
      <c r="D513" s="1"/>
      <c r="E513" s="1"/>
      <c r="F513" s="1"/>
    </row>
    <row r="514" ht="13.5" customHeight="1">
      <c r="A514" s="1"/>
      <c r="B514" s="1"/>
      <c r="C514" s="1"/>
      <c r="D514" s="1"/>
      <c r="E514" s="1"/>
      <c r="F514" s="1"/>
    </row>
    <row r="515" ht="13.5" customHeight="1">
      <c r="A515" s="1"/>
      <c r="B515" s="1"/>
      <c r="C515" s="1"/>
      <c r="D515" s="1"/>
      <c r="E515" s="1"/>
      <c r="F515" s="1"/>
    </row>
    <row r="516" ht="13.5" customHeight="1">
      <c r="A516" s="1"/>
      <c r="B516" s="1"/>
      <c r="C516" s="1"/>
      <c r="D516" s="1"/>
      <c r="E516" s="1"/>
      <c r="F516" s="1"/>
    </row>
    <row r="517" ht="13.5" customHeight="1">
      <c r="A517" s="1"/>
      <c r="B517" s="1"/>
      <c r="C517" s="1"/>
      <c r="D517" s="1"/>
      <c r="E517" s="1"/>
      <c r="F517" s="1"/>
    </row>
    <row r="518" ht="13.5" customHeight="1">
      <c r="A518" s="1"/>
      <c r="B518" s="1"/>
      <c r="C518" s="1"/>
      <c r="D518" s="1"/>
      <c r="E518" s="1"/>
      <c r="F518" s="1"/>
    </row>
    <row r="519" ht="13.5" customHeight="1">
      <c r="A519" s="1"/>
      <c r="B519" s="1"/>
      <c r="C519" s="1"/>
      <c r="D519" s="1"/>
      <c r="E519" s="1"/>
      <c r="F519" s="1"/>
    </row>
    <row r="520" ht="13.5" customHeight="1">
      <c r="A520" s="1"/>
      <c r="B520" s="1"/>
      <c r="C520" s="1"/>
      <c r="D520" s="1"/>
      <c r="E520" s="1"/>
      <c r="F520" s="1"/>
    </row>
    <row r="521" ht="13.5" customHeight="1">
      <c r="A521" s="1"/>
      <c r="B521" s="1"/>
      <c r="C521" s="1"/>
      <c r="D521" s="1"/>
      <c r="E521" s="1"/>
      <c r="F521" s="1"/>
    </row>
    <row r="522" ht="13.5" customHeight="1">
      <c r="A522" s="1"/>
      <c r="B522" s="1"/>
      <c r="C522" s="1"/>
      <c r="D522" s="1"/>
      <c r="E522" s="1"/>
      <c r="F522" s="1"/>
    </row>
    <row r="523" ht="13.5" customHeight="1">
      <c r="A523" s="1"/>
      <c r="B523" s="1"/>
      <c r="C523" s="1"/>
      <c r="D523" s="1"/>
      <c r="E523" s="1"/>
      <c r="F523" s="1"/>
    </row>
    <row r="524" ht="13.5" customHeight="1">
      <c r="A524" s="1"/>
      <c r="B524" s="1"/>
      <c r="C524" s="1"/>
      <c r="D524" s="1"/>
      <c r="E524" s="1"/>
      <c r="F524" s="1"/>
    </row>
    <row r="525" ht="13.5" customHeight="1">
      <c r="A525" s="1"/>
      <c r="B525" s="1"/>
      <c r="C525" s="1"/>
      <c r="D525" s="1"/>
      <c r="E525" s="1"/>
      <c r="F525" s="1"/>
    </row>
    <row r="526" ht="13.5" customHeight="1">
      <c r="A526" s="1"/>
      <c r="B526" s="1"/>
      <c r="C526" s="1"/>
      <c r="D526" s="1"/>
      <c r="E526" s="1"/>
      <c r="F526" s="1"/>
    </row>
    <row r="527" ht="13.5" customHeight="1">
      <c r="A527" s="1"/>
      <c r="B527" s="1"/>
      <c r="C527" s="1"/>
      <c r="D527" s="1"/>
      <c r="E527" s="1"/>
      <c r="F527" s="1"/>
    </row>
    <row r="528" ht="13.5" customHeight="1">
      <c r="A528" s="1"/>
      <c r="B528" s="1"/>
      <c r="C528" s="1"/>
      <c r="D528" s="1"/>
      <c r="E528" s="1"/>
      <c r="F528" s="1"/>
    </row>
    <row r="529" ht="13.5" customHeight="1">
      <c r="A529" s="1"/>
      <c r="B529" s="1"/>
      <c r="C529" s="1"/>
      <c r="D529" s="1"/>
      <c r="E529" s="1"/>
      <c r="F529" s="1"/>
    </row>
    <row r="530" ht="13.5" customHeight="1">
      <c r="A530" s="1"/>
      <c r="B530" s="1"/>
      <c r="C530" s="1"/>
      <c r="D530" s="1"/>
      <c r="E530" s="1"/>
      <c r="F530" s="1"/>
    </row>
    <row r="531" ht="13.5" customHeight="1">
      <c r="A531" s="1"/>
      <c r="B531" s="1"/>
      <c r="C531" s="1"/>
      <c r="D531" s="1"/>
      <c r="E531" s="1"/>
      <c r="F531" s="1"/>
    </row>
    <row r="532" ht="13.5" customHeight="1">
      <c r="A532" s="1"/>
      <c r="B532" s="1"/>
      <c r="C532" s="1"/>
      <c r="D532" s="1"/>
      <c r="E532" s="1"/>
      <c r="F532" s="1"/>
    </row>
    <row r="533" ht="13.5" customHeight="1">
      <c r="A533" s="1"/>
      <c r="B533" s="1"/>
      <c r="C533" s="1"/>
      <c r="D533" s="1"/>
      <c r="E533" s="1"/>
      <c r="F533" s="1"/>
    </row>
    <row r="534" ht="13.5" customHeight="1">
      <c r="A534" s="1"/>
      <c r="B534" s="1"/>
      <c r="C534" s="1"/>
      <c r="D534" s="1"/>
      <c r="E534" s="1"/>
      <c r="F534" s="1"/>
    </row>
    <row r="535" ht="13.5" customHeight="1">
      <c r="A535" s="1"/>
      <c r="B535" s="1"/>
      <c r="C535" s="1"/>
      <c r="D535" s="1"/>
      <c r="E535" s="1"/>
      <c r="F535" s="1"/>
    </row>
    <row r="536" ht="13.5" customHeight="1">
      <c r="A536" s="1"/>
      <c r="B536" s="1"/>
      <c r="C536" s="1"/>
      <c r="D536" s="1"/>
      <c r="E536" s="1"/>
      <c r="F536" s="1"/>
    </row>
    <row r="537" ht="13.5" customHeight="1">
      <c r="A537" s="1"/>
      <c r="B537" s="1"/>
      <c r="C537" s="1"/>
      <c r="D537" s="1"/>
      <c r="E537" s="1"/>
      <c r="F537" s="1"/>
    </row>
    <row r="538" ht="13.5" customHeight="1">
      <c r="A538" s="1"/>
      <c r="B538" s="1"/>
      <c r="C538" s="1"/>
      <c r="D538" s="1"/>
      <c r="E538" s="1"/>
      <c r="F538" s="1"/>
    </row>
    <row r="539" ht="13.5" customHeight="1">
      <c r="A539" s="1"/>
      <c r="B539" s="1"/>
      <c r="C539" s="1"/>
      <c r="D539" s="1"/>
      <c r="E539" s="1"/>
      <c r="F539" s="1"/>
    </row>
    <row r="540" ht="13.5" customHeight="1">
      <c r="A540" s="1"/>
      <c r="B540" s="1"/>
      <c r="C540" s="1"/>
      <c r="D540" s="1"/>
      <c r="E540" s="1"/>
      <c r="F540" s="1"/>
    </row>
    <row r="541" ht="13.5" customHeight="1">
      <c r="A541" s="1"/>
      <c r="B541" s="1"/>
      <c r="C541" s="1"/>
      <c r="D541" s="1"/>
      <c r="E541" s="1"/>
      <c r="F541" s="1"/>
    </row>
    <row r="542" ht="13.5" customHeight="1">
      <c r="A542" s="1"/>
      <c r="B542" s="1"/>
      <c r="C542" s="1"/>
      <c r="D542" s="1"/>
      <c r="E542" s="1"/>
      <c r="F542" s="1"/>
    </row>
    <row r="543" ht="13.5" customHeight="1">
      <c r="A543" s="1"/>
      <c r="B543" s="1"/>
      <c r="C543" s="1"/>
      <c r="D543" s="1"/>
      <c r="E543" s="1"/>
      <c r="F543" s="1"/>
    </row>
    <row r="544" ht="13.5" customHeight="1">
      <c r="A544" s="1"/>
      <c r="B544" s="1"/>
      <c r="C544" s="1"/>
      <c r="D544" s="1"/>
      <c r="E544" s="1"/>
      <c r="F544" s="1"/>
    </row>
    <row r="545" ht="13.5" customHeight="1">
      <c r="A545" s="1"/>
      <c r="B545" s="1"/>
      <c r="C545" s="1"/>
      <c r="D545" s="1"/>
      <c r="E545" s="1"/>
      <c r="F545" s="1"/>
    </row>
    <row r="546" ht="13.5" customHeight="1">
      <c r="A546" s="1"/>
      <c r="B546" s="1"/>
      <c r="C546" s="1"/>
      <c r="D546" s="1"/>
      <c r="E546" s="1"/>
      <c r="F546" s="1"/>
    </row>
    <row r="547" ht="13.5" customHeight="1">
      <c r="A547" s="1"/>
      <c r="B547" s="1"/>
      <c r="C547" s="1"/>
      <c r="D547" s="1"/>
      <c r="E547" s="1"/>
      <c r="F547" s="1"/>
    </row>
    <row r="548" ht="13.5" customHeight="1">
      <c r="A548" s="1"/>
      <c r="B548" s="1"/>
      <c r="C548" s="1"/>
      <c r="D548" s="1"/>
      <c r="E548" s="1"/>
      <c r="F548" s="1"/>
    </row>
    <row r="549" ht="13.5" customHeight="1">
      <c r="A549" s="1"/>
      <c r="B549" s="1"/>
      <c r="C549" s="1"/>
      <c r="D549" s="1"/>
      <c r="E549" s="1"/>
      <c r="F549" s="1"/>
    </row>
    <row r="550" ht="13.5" customHeight="1">
      <c r="A550" s="1"/>
      <c r="B550" s="1"/>
      <c r="C550" s="1"/>
      <c r="D550" s="1"/>
      <c r="E550" s="1"/>
      <c r="F550" s="1"/>
    </row>
    <row r="551" ht="13.5" customHeight="1">
      <c r="A551" s="1"/>
      <c r="B551" s="1"/>
      <c r="C551" s="1"/>
      <c r="D551" s="1"/>
      <c r="E551" s="1"/>
      <c r="F551" s="1"/>
    </row>
    <row r="552" ht="13.5" customHeight="1">
      <c r="A552" s="1"/>
      <c r="B552" s="1"/>
      <c r="C552" s="1"/>
      <c r="D552" s="1"/>
      <c r="E552" s="1"/>
      <c r="F552" s="1"/>
    </row>
    <row r="553" ht="13.5" customHeight="1">
      <c r="A553" s="1"/>
      <c r="B553" s="1"/>
      <c r="C553" s="1"/>
      <c r="D553" s="1"/>
      <c r="E553" s="1"/>
      <c r="F553" s="1"/>
    </row>
    <row r="554" ht="13.5" customHeight="1">
      <c r="A554" s="1"/>
      <c r="B554" s="1"/>
      <c r="C554" s="1"/>
      <c r="D554" s="1"/>
      <c r="E554" s="1"/>
      <c r="F554" s="1"/>
    </row>
    <row r="555" ht="13.5" customHeight="1">
      <c r="A555" s="1"/>
      <c r="B555" s="1"/>
      <c r="C555" s="1"/>
      <c r="D555" s="1"/>
      <c r="E555" s="1"/>
      <c r="F555" s="1"/>
    </row>
    <row r="556" ht="13.5" customHeight="1">
      <c r="A556" s="1"/>
      <c r="B556" s="1"/>
      <c r="C556" s="1"/>
      <c r="D556" s="1"/>
      <c r="E556" s="1"/>
      <c r="F556" s="1"/>
    </row>
    <row r="557" ht="13.5" customHeight="1">
      <c r="A557" s="1"/>
      <c r="B557" s="1"/>
      <c r="C557" s="1"/>
      <c r="D557" s="1"/>
      <c r="E557" s="1"/>
      <c r="F557" s="1"/>
    </row>
    <row r="558" ht="13.5" customHeight="1">
      <c r="A558" s="1"/>
      <c r="B558" s="1"/>
      <c r="C558" s="1"/>
      <c r="D558" s="1"/>
      <c r="E558" s="1"/>
      <c r="F558" s="1"/>
    </row>
    <row r="559" ht="13.5" customHeight="1">
      <c r="A559" s="1"/>
      <c r="B559" s="1"/>
      <c r="C559" s="1"/>
      <c r="D559" s="1"/>
      <c r="E559" s="1"/>
      <c r="F559" s="1"/>
    </row>
    <row r="560" ht="13.5" customHeight="1">
      <c r="A560" s="1"/>
      <c r="B560" s="1"/>
      <c r="C560" s="1"/>
      <c r="D560" s="1"/>
      <c r="E560" s="1"/>
      <c r="F560" s="1"/>
    </row>
    <row r="561" ht="13.5" customHeight="1">
      <c r="A561" s="1"/>
      <c r="B561" s="1"/>
      <c r="C561" s="1"/>
      <c r="D561" s="1"/>
      <c r="E561" s="1"/>
      <c r="F561" s="1"/>
    </row>
    <row r="562" ht="13.5" customHeight="1">
      <c r="A562" s="1"/>
      <c r="B562" s="1"/>
      <c r="C562" s="1"/>
      <c r="D562" s="1"/>
      <c r="E562" s="1"/>
      <c r="F562" s="1"/>
    </row>
    <row r="563" ht="13.5" customHeight="1">
      <c r="A563" s="1"/>
      <c r="B563" s="1"/>
      <c r="C563" s="1"/>
      <c r="D563" s="1"/>
      <c r="E563" s="1"/>
      <c r="F563" s="1"/>
    </row>
    <row r="564" ht="13.5" customHeight="1">
      <c r="A564" s="1"/>
      <c r="B564" s="1"/>
      <c r="C564" s="1"/>
      <c r="D564" s="1"/>
      <c r="E564" s="1"/>
      <c r="F564" s="1"/>
    </row>
    <row r="565" ht="13.5" customHeight="1">
      <c r="A565" s="1"/>
      <c r="B565" s="1"/>
      <c r="C565" s="1"/>
      <c r="D565" s="1"/>
      <c r="E565" s="1"/>
      <c r="F565" s="1"/>
    </row>
    <row r="566" ht="13.5" customHeight="1">
      <c r="A566" s="1"/>
      <c r="B566" s="1"/>
      <c r="C566" s="1"/>
      <c r="D566" s="1"/>
      <c r="E566" s="1"/>
      <c r="F566" s="1"/>
    </row>
    <row r="567" ht="13.5" customHeight="1">
      <c r="A567" s="1"/>
      <c r="B567" s="1"/>
      <c r="C567" s="1"/>
      <c r="D567" s="1"/>
      <c r="E567" s="1"/>
      <c r="F567" s="1"/>
    </row>
    <row r="568" ht="13.5" customHeight="1">
      <c r="A568" s="1"/>
      <c r="B568" s="1"/>
      <c r="C568" s="1"/>
      <c r="D568" s="1"/>
      <c r="E568" s="1"/>
      <c r="F568" s="1"/>
    </row>
    <row r="569" ht="13.5" customHeight="1">
      <c r="A569" s="1"/>
      <c r="B569" s="1"/>
      <c r="C569" s="1"/>
      <c r="D569" s="1"/>
      <c r="E569" s="1"/>
      <c r="F569" s="1"/>
    </row>
    <row r="570" ht="13.5" customHeight="1">
      <c r="A570" s="1"/>
      <c r="B570" s="1"/>
      <c r="C570" s="1"/>
      <c r="D570" s="1"/>
      <c r="E570" s="1"/>
      <c r="F570" s="1"/>
    </row>
    <row r="571" ht="13.5" customHeight="1">
      <c r="A571" s="1"/>
      <c r="B571" s="1"/>
      <c r="C571" s="1"/>
      <c r="D571" s="1"/>
      <c r="E571" s="1"/>
      <c r="F571" s="1"/>
    </row>
    <row r="572" ht="13.5" customHeight="1">
      <c r="A572" s="1"/>
      <c r="B572" s="1"/>
      <c r="C572" s="1"/>
      <c r="D572" s="1"/>
      <c r="E572" s="1"/>
      <c r="F572" s="1"/>
    </row>
    <row r="573" ht="13.5" customHeight="1">
      <c r="A573" s="1"/>
      <c r="B573" s="1"/>
      <c r="C573" s="1"/>
      <c r="D573" s="1"/>
      <c r="E573" s="1"/>
      <c r="F573" s="1"/>
    </row>
    <row r="574" ht="13.5" customHeight="1">
      <c r="A574" s="1"/>
      <c r="B574" s="1"/>
      <c r="C574" s="1"/>
      <c r="D574" s="1"/>
      <c r="E574" s="1"/>
      <c r="F574" s="1"/>
    </row>
    <row r="575" ht="13.5" customHeight="1">
      <c r="A575" s="1"/>
      <c r="B575" s="1"/>
      <c r="C575" s="1"/>
      <c r="D575" s="1"/>
      <c r="E575" s="1"/>
      <c r="F575" s="1"/>
    </row>
    <row r="576" ht="13.5" customHeight="1">
      <c r="A576" s="1"/>
      <c r="B576" s="1"/>
      <c r="C576" s="1"/>
      <c r="D576" s="1"/>
      <c r="E576" s="1"/>
      <c r="F576" s="1"/>
    </row>
    <row r="577" ht="13.5" customHeight="1">
      <c r="A577" s="1"/>
      <c r="B577" s="1"/>
      <c r="C577" s="1"/>
      <c r="D577" s="1"/>
      <c r="E577" s="1"/>
      <c r="F577" s="1"/>
    </row>
    <row r="578" ht="13.5" customHeight="1">
      <c r="A578" s="1"/>
      <c r="B578" s="1"/>
      <c r="C578" s="1"/>
      <c r="D578" s="1"/>
      <c r="E578" s="1"/>
      <c r="F578" s="1"/>
    </row>
    <row r="579" ht="13.5" customHeight="1">
      <c r="A579" s="1"/>
      <c r="B579" s="1"/>
      <c r="C579" s="1"/>
      <c r="D579" s="1"/>
      <c r="E579" s="1"/>
      <c r="F579" s="1"/>
    </row>
    <row r="580" ht="13.5" customHeight="1">
      <c r="A580" s="1"/>
      <c r="B580" s="1"/>
      <c r="C580" s="1"/>
      <c r="D580" s="1"/>
      <c r="E580" s="1"/>
      <c r="F580" s="1"/>
    </row>
    <row r="581" ht="13.5" customHeight="1">
      <c r="A581" s="1"/>
      <c r="B581" s="1"/>
      <c r="C581" s="1"/>
      <c r="D581" s="1"/>
      <c r="E581" s="1"/>
      <c r="F581" s="1"/>
    </row>
    <row r="582" ht="13.5" customHeight="1">
      <c r="A582" s="1"/>
      <c r="B582" s="1"/>
      <c r="C582" s="1"/>
      <c r="D582" s="1"/>
      <c r="E582" s="1"/>
      <c r="F582" s="1"/>
    </row>
    <row r="583" ht="13.5" customHeight="1">
      <c r="A583" s="1"/>
      <c r="B583" s="1"/>
      <c r="C583" s="1"/>
      <c r="D583" s="1"/>
      <c r="E583" s="1"/>
      <c r="F583" s="1"/>
    </row>
    <row r="584" ht="13.5" customHeight="1">
      <c r="A584" s="1"/>
      <c r="B584" s="1"/>
      <c r="C584" s="1"/>
      <c r="D584" s="1"/>
      <c r="E584" s="1"/>
      <c r="F584" s="1"/>
    </row>
    <row r="585" ht="13.5" customHeight="1">
      <c r="A585" s="1"/>
      <c r="B585" s="1"/>
      <c r="C585" s="1"/>
      <c r="D585" s="1"/>
      <c r="E585" s="1"/>
      <c r="F585" s="1"/>
    </row>
    <row r="586" ht="13.5" customHeight="1">
      <c r="A586" s="1"/>
      <c r="B586" s="1"/>
      <c r="C586" s="1"/>
      <c r="D586" s="1"/>
      <c r="E586" s="1"/>
      <c r="F586" s="1"/>
    </row>
    <row r="587" ht="13.5" customHeight="1">
      <c r="A587" s="1"/>
      <c r="B587" s="1"/>
      <c r="C587" s="1"/>
      <c r="D587" s="1"/>
      <c r="E587" s="1"/>
      <c r="F587" s="1"/>
    </row>
    <row r="588" ht="13.5" customHeight="1">
      <c r="A588" s="1"/>
      <c r="B588" s="1"/>
      <c r="C588" s="1"/>
      <c r="D588" s="1"/>
      <c r="E588" s="1"/>
      <c r="F588" s="1"/>
    </row>
    <row r="589" ht="13.5" customHeight="1">
      <c r="A589" s="1"/>
      <c r="B589" s="1"/>
      <c r="C589" s="1"/>
      <c r="D589" s="1"/>
      <c r="E589" s="1"/>
      <c r="F589" s="1"/>
    </row>
    <row r="590" ht="13.5" customHeight="1">
      <c r="A590" s="1"/>
      <c r="B590" s="1"/>
      <c r="C590" s="1"/>
      <c r="D590" s="1"/>
      <c r="E590" s="1"/>
      <c r="F590" s="1"/>
    </row>
    <row r="591" ht="13.5" customHeight="1">
      <c r="A591" s="1"/>
      <c r="B591" s="1"/>
      <c r="C591" s="1"/>
      <c r="D591" s="1"/>
      <c r="E591" s="1"/>
      <c r="F591" s="1"/>
    </row>
    <row r="592" ht="13.5" customHeight="1">
      <c r="A592" s="1"/>
      <c r="B592" s="1"/>
      <c r="C592" s="1"/>
      <c r="D592" s="1"/>
      <c r="E592" s="1"/>
      <c r="F592" s="1"/>
    </row>
    <row r="593" ht="13.5" customHeight="1">
      <c r="A593" s="1"/>
      <c r="B593" s="1"/>
      <c r="C593" s="1"/>
      <c r="D593" s="1"/>
      <c r="E593" s="1"/>
      <c r="F593" s="1"/>
    </row>
    <row r="594" ht="13.5" customHeight="1">
      <c r="A594" s="1"/>
      <c r="B594" s="1"/>
      <c r="C594" s="1"/>
      <c r="D594" s="1"/>
      <c r="E594" s="1"/>
      <c r="F594" s="1"/>
    </row>
    <row r="595" ht="13.5" customHeight="1">
      <c r="A595" s="1"/>
      <c r="B595" s="1"/>
      <c r="C595" s="1"/>
      <c r="D595" s="1"/>
      <c r="E595" s="1"/>
      <c r="F595" s="1"/>
    </row>
    <row r="596" ht="13.5" customHeight="1">
      <c r="A596" s="1"/>
      <c r="B596" s="1"/>
      <c r="C596" s="1"/>
      <c r="D596" s="1"/>
      <c r="E596" s="1"/>
      <c r="F596" s="1"/>
    </row>
    <row r="597" ht="13.5" customHeight="1">
      <c r="A597" s="1"/>
      <c r="B597" s="1"/>
      <c r="C597" s="1"/>
      <c r="D597" s="1"/>
      <c r="E597" s="1"/>
      <c r="F597" s="1"/>
    </row>
    <row r="598" ht="13.5" customHeight="1">
      <c r="A598" s="1"/>
      <c r="B598" s="1"/>
      <c r="C598" s="1"/>
      <c r="D598" s="1"/>
      <c r="E598" s="1"/>
      <c r="F598" s="1"/>
    </row>
    <row r="599" ht="13.5" customHeight="1">
      <c r="A599" s="1"/>
      <c r="B599" s="1"/>
      <c r="C599" s="1"/>
      <c r="D599" s="1"/>
      <c r="E599" s="1"/>
      <c r="F599" s="1"/>
    </row>
    <row r="600" ht="13.5" customHeight="1">
      <c r="A600" s="1"/>
      <c r="B600" s="1"/>
      <c r="C600" s="1"/>
      <c r="D600" s="1"/>
      <c r="E600" s="1"/>
      <c r="F600" s="1"/>
    </row>
    <row r="601" ht="13.5" customHeight="1">
      <c r="A601" s="1"/>
      <c r="B601" s="1"/>
      <c r="C601" s="1"/>
      <c r="D601" s="1"/>
      <c r="E601" s="1"/>
      <c r="F601" s="1"/>
    </row>
    <row r="602" ht="13.5" customHeight="1">
      <c r="A602" s="1"/>
      <c r="B602" s="1"/>
      <c r="C602" s="1"/>
      <c r="D602" s="1"/>
      <c r="E602" s="1"/>
      <c r="F602" s="1"/>
    </row>
    <row r="603" ht="13.5" customHeight="1">
      <c r="A603" s="1"/>
      <c r="B603" s="1"/>
      <c r="C603" s="1"/>
      <c r="D603" s="1"/>
      <c r="E603" s="1"/>
      <c r="F603" s="1"/>
    </row>
    <row r="604" ht="13.5" customHeight="1">
      <c r="A604" s="1"/>
      <c r="B604" s="1"/>
      <c r="C604" s="1"/>
      <c r="D604" s="1"/>
      <c r="E604" s="1"/>
      <c r="F604" s="1"/>
    </row>
    <row r="605" ht="13.5" customHeight="1">
      <c r="A605" s="1"/>
      <c r="B605" s="1"/>
      <c r="C605" s="1"/>
      <c r="D605" s="1"/>
      <c r="E605" s="1"/>
      <c r="F605" s="1"/>
    </row>
    <row r="606" ht="13.5" customHeight="1">
      <c r="A606" s="1"/>
      <c r="B606" s="1"/>
      <c r="C606" s="1"/>
      <c r="D606" s="1"/>
      <c r="E606" s="1"/>
      <c r="F606" s="1"/>
    </row>
    <row r="607" ht="13.5" customHeight="1">
      <c r="A607" s="1"/>
      <c r="B607" s="1"/>
      <c r="C607" s="1"/>
      <c r="D607" s="1"/>
      <c r="E607" s="1"/>
      <c r="F607" s="1"/>
    </row>
    <row r="608" ht="13.5" customHeight="1">
      <c r="A608" s="1"/>
      <c r="B608" s="1"/>
      <c r="C608" s="1"/>
      <c r="D608" s="1"/>
      <c r="E608" s="1"/>
      <c r="F608" s="1"/>
    </row>
    <row r="609" ht="13.5" customHeight="1">
      <c r="A609" s="1"/>
      <c r="B609" s="1"/>
      <c r="C609" s="1"/>
      <c r="D609" s="1"/>
      <c r="E609" s="1"/>
      <c r="F609" s="1"/>
    </row>
    <row r="610" ht="13.5" customHeight="1">
      <c r="A610" s="1"/>
      <c r="B610" s="1"/>
      <c r="C610" s="1"/>
      <c r="D610" s="1"/>
      <c r="E610" s="1"/>
      <c r="F610" s="1"/>
    </row>
    <row r="611" ht="13.5" customHeight="1">
      <c r="A611" s="1"/>
      <c r="B611" s="1"/>
      <c r="C611" s="1"/>
      <c r="D611" s="1"/>
      <c r="E611" s="1"/>
      <c r="F611" s="1"/>
    </row>
    <row r="612" ht="13.5" customHeight="1">
      <c r="A612" s="1"/>
      <c r="B612" s="1"/>
      <c r="C612" s="1"/>
      <c r="D612" s="1"/>
      <c r="E612" s="1"/>
      <c r="F612" s="1"/>
    </row>
    <row r="613" ht="13.5" customHeight="1">
      <c r="A613" s="1"/>
      <c r="B613" s="1"/>
      <c r="C613" s="1"/>
      <c r="D613" s="1"/>
      <c r="E613" s="1"/>
      <c r="F613" s="1"/>
    </row>
    <row r="614" ht="13.5" customHeight="1">
      <c r="A614" s="1"/>
      <c r="B614" s="1"/>
      <c r="C614" s="1"/>
      <c r="D614" s="1"/>
      <c r="E614" s="1"/>
      <c r="F614" s="1"/>
    </row>
    <row r="615" ht="13.5" customHeight="1">
      <c r="A615" s="1"/>
      <c r="B615" s="1"/>
      <c r="C615" s="1"/>
      <c r="D615" s="1"/>
      <c r="E615" s="1"/>
      <c r="F615" s="1"/>
    </row>
    <row r="616" ht="13.5" customHeight="1">
      <c r="A616" s="1"/>
      <c r="B616" s="1"/>
      <c r="C616" s="1"/>
      <c r="D616" s="1"/>
      <c r="E616" s="1"/>
      <c r="F616" s="1"/>
    </row>
    <row r="617" ht="13.5" customHeight="1">
      <c r="A617" s="1"/>
      <c r="B617" s="1"/>
      <c r="C617" s="1"/>
      <c r="D617" s="1"/>
      <c r="E617" s="1"/>
      <c r="F617" s="1"/>
    </row>
    <row r="618" ht="13.5" customHeight="1">
      <c r="A618" s="1"/>
      <c r="B618" s="1"/>
      <c r="C618" s="1"/>
      <c r="D618" s="1"/>
      <c r="E618" s="1"/>
      <c r="F618" s="1"/>
    </row>
    <row r="619" ht="13.5" customHeight="1">
      <c r="A619" s="1"/>
      <c r="B619" s="1"/>
      <c r="C619" s="1"/>
      <c r="D619" s="1"/>
      <c r="E619" s="1"/>
      <c r="F619" s="1"/>
    </row>
    <row r="620" ht="13.5" customHeight="1">
      <c r="A620" s="1"/>
      <c r="B620" s="1"/>
      <c r="C620" s="1"/>
      <c r="D620" s="1"/>
      <c r="E620" s="1"/>
      <c r="F620" s="1"/>
    </row>
    <row r="621" ht="13.5" customHeight="1">
      <c r="A621" s="1"/>
      <c r="B621" s="1"/>
      <c r="C621" s="1"/>
      <c r="D621" s="1"/>
      <c r="E621" s="1"/>
      <c r="F621" s="1"/>
    </row>
    <row r="622" ht="13.5" customHeight="1">
      <c r="A622" s="1"/>
      <c r="B622" s="1"/>
      <c r="C622" s="1"/>
      <c r="D622" s="1"/>
      <c r="E622" s="1"/>
      <c r="F622" s="1"/>
    </row>
    <row r="623" ht="13.5" customHeight="1">
      <c r="A623" s="1"/>
      <c r="B623" s="1"/>
      <c r="C623" s="1"/>
      <c r="D623" s="1"/>
      <c r="E623" s="1"/>
      <c r="F623" s="1"/>
    </row>
    <row r="624" ht="13.5" customHeight="1">
      <c r="A624" s="1"/>
      <c r="B624" s="1"/>
      <c r="C624" s="1"/>
      <c r="D624" s="1"/>
      <c r="E624" s="1"/>
      <c r="F624" s="1"/>
    </row>
    <row r="625" ht="13.5" customHeight="1">
      <c r="A625" s="1"/>
      <c r="B625" s="1"/>
      <c r="C625" s="1"/>
      <c r="D625" s="1"/>
      <c r="E625" s="1"/>
      <c r="F625" s="1"/>
    </row>
    <row r="626" ht="13.5" customHeight="1">
      <c r="A626" s="1"/>
      <c r="B626" s="1"/>
      <c r="C626" s="1"/>
      <c r="D626" s="1"/>
      <c r="E626" s="1"/>
      <c r="F626" s="1"/>
    </row>
    <row r="627" ht="13.5" customHeight="1">
      <c r="A627" s="1"/>
      <c r="B627" s="1"/>
      <c r="C627" s="1"/>
      <c r="D627" s="1"/>
      <c r="E627" s="1"/>
      <c r="F627" s="1"/>
    </row>
    <row r="628" ht="13.5" customHeight="1">
      <c r="A628" s="1"/>
      <c r="B628" s="1"/>
      <c r="C628" s="1"/>
      <c r="D628" s="1"/>
      <c r="E628" s="1"/>
      <c r="F628" s="1"/>
    </row>
    <row r="629" ht="13.5" customHeight="1">
      <c r="A629" s="1"/>
      <c r="B629" s="1"/>
      <c r="C629" s="1"/>
      <c r="D629" s="1"/>
      <c r="E629" s="1"/>
      <c r="F629" s="1"/>
    </row>
    <row r="630" ht="13.5" customHeight="1">
      <c r="A630" s="1"/>
      <c r="B630" s="1"/>
      <c r="C630" s="1"/>
      <c r="D630" s="1"/>
      <c r="E630" s="1"/>
      <c r="F630" s="1"/>
    </row>
    <row r="631" ht="13.5" customHeight="1">
      <c r="A631" s="1"/>
      <c r="B631" s="1"/>
      <c r="C631" s="1"/>
      <c r="D631" s="1"/>
      <c r="E631" s="1"/>
      <c r="F631" s="1"/>
    </row>
    <row r="632" ht="13.5" customHeight="1">
      <c r="A632" s="1"/>
      <c r="B632" s="1"/>
      <c r="C632" s="1"/>
      <c r="D632" s="1"/>
      <c r="E632" s="1"/>
      <c r="F632" s="1"/>
    </row>
    <row r="633" ht="13.5" customHeight="1">
      <c r="A633" s="1"/>
      <c r="B633" s="1"/>
      <c r="C633" s="1"/>
      <c r="D633" s="1"/>
      <c r="E633" s="1"/>
      <c r="F633" s="1"/>
    </row>
    <row r="634" ht="13.5" customHeight="1">
      <c r="A634" s="1"/>
      <c r="B634" s="1"/>
      <c r="C634" s="1"/>
      <c r="D634" s="1"/>
      <c r="E634" s="1"/>
      <c r="F634" s="1"/>
    </row>
    <row r="635" ht="13.5" customHeight="1">
      <c r="A635" s="1"/>
      <c r="B635" s="1"/>
      <c r="C635" s="1"/>
      <c r="D635" s="1"/>
      <c r="E635" s="1"/>
      <c r="F635" s="1"/>
    </row>
    <row r="636" ht="13.5" customHeight="1">
      <c r="A636" s="1"/>
      <c r="B636" s="1"/>
      <c r="C636" s="1"/>
      <c r="D636" s="1"/>
      <c r="E636" s="1"/>
      <c r="F636" s="1"/>
    </row>
    <row r="637" ht="13.5" customHeight="1">
      <c r="A637" s="1"/>
      <c r="B637" s="1"/>
      <c r="C637" s="1"/>
      <c r="D637" s="1"/>
      <c r="E637" s="1"/>
      <c r="F637" s="1"/>
    </row>
    <row r="638" ht="13.5" customHeight="1">
      <c r="A638" s="1"/>
      <c r="B638" s="1"/>
      <c r="C638" s="1"/>
      <c r="D638" s="1"/>
      <c r="E638" s="1"/>
      <c r="F638" s="1"/>
    </row>
    <row r="639" ht="13.5" customHeight="1">
      <c r="A639" s="1"/>
      <c r="B639" s="1"/>
      <c r="C639" s="1"/>
      <c r="D639" s="1"/>
      <c r="E639" s="1"/>
      <c r="F639" s="1"/>
    </row>
    <row r="640" ht="13.5" customHeight="1">
      <c r="A640" s="1"/>
      <c r="B640" s="1"/>
      <c r="C640" s="1"/>
      <c r="D640" s="1"/>
      <c r="E640" s="1"/>
      <c r="F640" s="1"/>
    </row>
    <row r="641" ht="13.5" customHeight="1">
      <c r="A641" s="1"/>
      <c r="B641" s="1"/>
      <c r="C641" s="1"/>
      <c r="D641" s="1"/>
      <c r="E641" s="1"/>
      <c r="F641" s="1"/>
    </row>
    <row r="642" ht="13.5" customHeight="1">
      <c r="A642" s="1"/>
      <c r="B642" s="1"/>
      <c r="C642" s="1"/>
      <c r="D642" s="1"/>
      <c r="E642" s="1"/>
      <c r="F642" s="1"/>
    </row>
    <row r="643" ht="13.5" customHeight="1">
      <c r="A643" s="1"/>
      <c r="B643" s="1"/>
      <c r="C643" s="1"/>
      <c r="D643" s="1"/>
      <c r="E643" s="1"/>
      <c r="F643" s="1"/>
    </row>
    <row r="644" ht="13.5" customHeight="1">
      <c r="A644" s="1"/>
      <c r="B644" s="1"/>
      <c r="C644" s="1"/>
      <c r="D644" s="1"/>
      <c r="E644" s="1"/>
      <c r="F644" s="1"/>
    </row>
    <row r="645" ht="13.5" customHeight="1">
      <c r="A645" s="1"/>
      <c r="B645" s="1"/>
      <c r="C645" s="1"/>
      <c r="D645" s="1"/>
      <c r="E645" s="1"/>
      <c r="F645" s="1"/>
    </row>
    <row r="646" ht="13.5" customHeight="1">
      <c r="A646" s="1"/>
      <c r="B646" s="1"/>
      <c r="C646" s="1"/>
      <c r="D646" s="1"/>
      <c r="E646" s="1"/>
      <c r="F646" s="1"/>
    </row>
    <row r="647" ht="13.5" customHeight="1">
      <c r="A647" s="1"/>
      <c r="B647" s="1"/>
      <c r="C647" s="1"/>
      <c r="D647" s="1"/>
      <c r="E647" s="1"/>
      <c r="F647" s="1"/>
    </row>
    <row r="648" ht="13.5" customHeight="1">
      <c r="A648" s="1"/>
      <c r="B648" s="1"/>
      <c r="C648" s="1"/>
      <c r="D648" s="1"/>
      <c r="E648" s="1"/>
      <c r="F648" s="1"/>
    </row>
    <row r="649" ht="13.5" customHeight="1">
      <c r="A649" s="1"/>
      <c r="B649" s="1"/>
      <c r="C649" s="1"/>
      <c r="D649" s="1"/>
      <c r="E649" s="1"/>
      <c r="F649" s="1"/>
    </row>
    <row r="650" ht="13.5" customHeight="1">
      <c r="A650" s="1"/>
      <c r="B650" s="1"/>
      <c r="C650" s="1"/>
      <c r="D650" s="1"/>
      <c r="E650" s="1"/>
      <c r="F650" s="1"/>
    </row>
    <row r="651" ht="13.5" customHeight="1">
      <c r="A651" s="1"/>
      <c r="B651" s="1"/>
      <c r="C651" s="1"/>
      <c r="D651" s="1"/>
      <c r="E651" s="1"/>
      <c r="F651" s="1"/>
    </row>
    <row r="652" ht="13.5" customHeight="1">
      <c r="A652" s="1"/>
      <c r="B652" s="1"/>
      <c r="C652" s="1"/>
      <c r="D652" s="1"/>
      <c r="E652" s="1"/>
      <c r="F652" s="1"/>
    </row>
    <row r="653" ht="13.5" customHeight="1">
      <c r="A653" s="1"/>
      <c r="B653" s="1"/>
      <c r="C653" s="1"/>
      <c r="D653" s="1"/>
      <c r="E653" s="1"/>
      <c r="F653" s="1"/>
    </row>
    <row r="654" ht="13.5" customHeight="1">
      <c r="A654" s="1"/>
      <c r="B654" s="1"/>
      <c r="C654" s="1"/>
      <c r="D654" s="1"/>
      <c r="E654" s="1"/>
      <c r="F654" s="1"/>
    </row>
    <row r="655" ht="13.5" customHeight="1">
      <c r="A655" s="1"/>
      <c r="B655" s="1"/>
      <c r="C655" s="1"/>
      <c r="D655" s="1"/>
      <c r="E655" s="1"/>
      <c r="F655" s="1"/>
    </row>
    <row r="656" ht="13.5" customHeight="1">
      <c r="A656" s="1"/>
      <c r="B656" s="1"/>
      <c r="C656" s="1"/>
      <c r="D656" s="1"/>
      <c r="E656" s="1"/>
      <c r="F656" s="1"/>
    </row>
    <row r="657" ht="13.5" customHeight="1">
      <c r="A657" s="1"/>
      <c r="B657" s="1"/>
      <c r="C657" s="1"/>
      <c r="D657" s="1"/>
      <c r="E657" s="1"/>
      <c r="F657" s="1"/>
    </row>
    <row r="658" ht="13.5" customHeight="1">
      <c r="A658" s="1"/>
      <c r="B658" s="1"/>
      <c r="C658" s="1"/>
      <c r="D658" s="1"/>
      <c r="E658" s="1"/>
      <c r="F658" s="1"/>
    </row>
    <row r="659" ht="13.5" customHeight="1">
      <c r="A659" s="1"/>
      <c r="B659" s="1"/>
      <c r="C659" s="1"/>
      <c r="D659" s="1"/>
      <c r="E659" s="1"/>
      <c r="F659" s="1"/>
    </row>
    <row r="660" ht="13.5" customHeight="1">
      <c r="A660" s="1"/>
      <c r="B660" s="1"/>
      <c r="C660" s="1"/>
      <c r="D660" s="1"/>
      <c r="E660" s="1"/>
      <c r="F660" s="1"/>
    </row>
    <row r="661" ht="13.5" customHeight="1">
      <c r="A661" s="1"/>
      <c r="B661" s="1"/>
      <c r="C661" s="1"/>
      <c r="D661" s="1"/>
      <c r="E661" s="1"/>
      <c r="F661" s="1"/>
    </row>
    <row r="662" ht="13.5" customHeight="1">
      <c r="A662" s="1"/>
      <c r="B662" s="1"/>
      <c r="C662" s="1"/>
      <c r="D662" s="1"/>
      <c r="E662" s="1"/>
      <c r="F662" s="1"/>
    </row>
    <row r="663" ht="13.5" customHeight="1">
      <c r="A663" s="1"/>
      <c r="B663" s="1"/>
      <c r="C663" s="1"/>
      <c r="D663" s="1"/>
      <c r="E663" s="1"/>
      <c r="F663" s="1"/>
    </row>
    <row r="664" ht="13.5" customHeight="1">
      <c r="A664" s="1"/>
      <c r="B664" s="1"/>
      <c r="C664" s="1"/>
      <c r="D664" s="1"/>
      <c r="E664" s="1"/>
      <c r="F664" s="1"/>
    </row>
    <row r="665" ht="13.5" customHeight="1">
      <c r="A665" s="1"/>
      <c r="B665" s="1"/>
      <c r="C665" s="1"/>
      <c r="D665" s="1"/>
      <c r="E665" s="1"/>
      <c r="F665" s="1"/>
    </row>
    <row r="666" ht="13.5" customHeight="1">
      <c r="A666" s="1"/>
      <c r="B666" s="1"/>
      <c r="C666" s="1"/>
      <c r="D666" s="1"/>
      <c r="E666" s="1"/>
      <c r="F666" s="1"/>
    </row>
    <row r="667" ht="13.5" customHeight="1">
      <c r="A667" s="1"/>
      <c r="B667" s="1"/>
      <c r="C667" s="1"/>
      <c r="D667" s="1"/>
      <c r="E667" s="1"/>
      <c r="F667" s="1"/>
    </row>
    <row r="668" ht="13.5" customHeight="1">
      <c r="A668" s="1"/>
      <c r="B668" s="1"/>
      <c r="C668" s="1"/>
      <c r="D668" s="1"/>
      <c r="E668" s="1"/>
      <c r="F668" s="1"/>
    </row>
    <row r="669" ht="13.5" customHeight="1">
      <c r="A669" s="1"/>
      <c r="B669" s="1"/>
      <c r="C669" s="1"/>
      <c r="D669" s="1"/>
      <c r="E669" s="1"/>
      <c r="F669" s="1"/>
    </row>
    <row r="670" ht="13.5" customHeight="1">
      <c r="A670" s="1"/>
      <c r="B670" s="1"/>
      <c r="C670" s="1"/>
      <c r="D670" s="1"/>
      <c r="E670" s="1"/>
      <c r="F670" s="1"/>
    </row>
    <row r="671" ht="13.5" customHeight="1">
      <c r="A671" s="1"/>
      <c r="B671" s="1"/>
      <c r="C671" s="1"/>
      <c r="D671" s="1"/>
      <c r="E671" s="1"/>
      <c r="F671" s="1"/>
    </row>
    <row r="672" ht="13.5" customHeight="1">
      <c r="A672" s="1"/>
      <c r="B672" s="1"/>
      <c r="C672" s="1"/>
      <c r="D672" s="1"/>
      <c r="E672" s="1"/>
      <c r="F672" s="1"/>
    </row>
    <row r="673" ht="13.5" customHeight="1">
      <c r="A673" s="1"/>
      <c r="B673" s="1"/>
      <c r="C673" s="1"/>
      <c r="D673" s="1"/>
      <c r="E673" s="1"/>
      <c r="F673" s="1"/>
    </row>
    <row r="674" ht="13.5" customHeight="1">
      <c r="A674" s="1"/>
      <c r="B674" s="1"/>
      <c r="C674" s="1"/>
      <c r="D674" s="1"/>
      <c r="E674" s="1"/>
      <c r="F674" s="1"/>
    </row>
    <row r="675" ht="13.5" customHeight="1">
      <c r="A675" s="1"/>
      <c r="B675" s="1"/>
      <c r="C675" s="1"/>
      <c r="D675" s="1"/>
      <c r="E675" s="1"/>
      <c r="F675" s="1"/>
    </row>
    <row r="676" ht="13.5" customHeight="1">
      <c r="A676" s="1"/>
      <c r="B676" s="1"/>
      <c r="C676" s="1"/>
      <c r="D676" s="1"/>
      <c r="E676" s="1"/>
      <c r="F676" s="1"/>
    </row>
    <row r="677" ht="13.5" customHeight="1">
      <c r="A677" s="1"/>
      <c r="B677" s="1"/>
      <c r="C677" s="1"/>
      <c r="D677" s="1"/>
      <c r="E677" s="1"/>
      <c r="F677" s="1"/>
    </row>
    <row r="678" ht="13.5" customHeight="1">
      <c r="A678" s="1"/>
      <c r="B678" s="1"/>
      <c r="C678" s="1"/>
      <c r="D678" s="1"/>
      <c r="E678" s="1"/>
      <c r="F678" s="1"/>
    </row>
    <row r="679" ht="13.5" customHeight="1">
      <c r="A679" s="1"/>
      <c r="B679" s="1"/>
      <c r="C679" s="1"/>
      <c r="D679" s="1"/>
      <c r="E679" s="1"/>
      <c r="F679" s="1"/>
    </row>
    <row r="680" ht="13.5" customHeight="1">
      <c r="A680" s="1"/>
      <c r="B680" s="1"/>
      <c r="C680" s="1"/>
      <c r="D680" s="1"/>
      <c r="E680" s="1"/>
      <c r="F680" s="1"/>
    </row>
    <row r="681" ht="13.5" customHeight="1">
      <c r="A681" s="1"/>
      <c r="B681" s="1"/>
      <c r="C681" s="1"/>
      <c r="D681" s="1"/>
      <c r="E681" s="1"/>
      <c r="F681" s="1"/>
    </row>
    <row r="682" ht="13.5" customHeight="1">
      <c r="A682" s="1"/>
      <c r="B682" s="1"/>
      <c r="C682" s="1"/>
      <c r="D682" s="1"/>
      <c r="E682" s="1"/>
      <c r="F682" s="1"/>
    </row>
    <row r="683" ht="13.5" customHeight="1">
      <c r="A683" s="1"/>
      <c r="B683" s="1"/>
      <c r="C683" s="1"/>
      <c r="D683" s="1"/>
      <c r="E683" s="1"/>
      <c r="F683" s="1"/>
    </row>
    <row r="684" ht="13.5" customHeight="1">
      <c r="A684" s="1"/>
      <c r="B684" s="1"/>
      <c r="C684" s="1"/>
      <c r="D684" s="1"/>
      <c r="E684" s="1"/>
      <c r="F684" s="1"/>
    </row>
    <row r="685" ht="13.5" customHeight="1">
      <c r="A685" s="1"/>
      <c r="B685" s="1"/>
      <c r="C685" s="1"/>
      <c r="D685" s="1"/>
      <c r="E685" s="1"/>
      <c r="F685" s="1"/>
    </row>
    <row r="686" ht="13.5" customHeight="1">
      <c r="A686" s="1"/>
      <c r="B686" s="1"/>
      <c r="C686" s="1"/>
      <c r="D686" s="1"/>
      <c r="E686" s="1"/>
      <c r="F686" s="1"/>
    </row>
    <row r="687" ht="13.5" customHeight="1">
      <c r="A687" s="1"/>
      <c r="B687" s="1"/>
      <c r="C687" s="1"/>
      <c r="D687" s="1"/>
      <c r="E687" s="1"/>
      <c r="F687" s="1"/>
    </row>
    <row r="688" ht="13.5" customHeight="1">
      <c r="A688" s="1"/>
      <c r="B688" s="1"/>
      <c r="C688" s="1"/>
      <c r="D688" s="1"/>
      <c r="E688" s="1"/>
      <c r="F688" s="1"/>
    </row>
    <row r="689" ht="13.5" customHeight="1">
      <c r="A689" s="1"/>
      <c r="B689" s="1"/>
      <c r="C689" s="1"/>
      <c r="D689" s="1"/>
      <c r="E689" s="1"/>
      <c r="F689" s="1"/>
    </row>
    <row r="690" ht="13.5" customHeight="1">
      <c r="A690" s="1"/>
      <c r="B690" s="1"/>
      <c r="C690" s="1"/>
      <c r="D690" s="1"/>
      <c r="E690" s="1"/>
      <c r="F690" s="1"/>
    </row>
    <row r="691" ht="13.5" customHeight="1">
      <c r="A691" s="1"/>
      <c r="B691" s="1"/>
      <c r="C691" s="1"/>
      <c r="D691" s="1"/>
      <c r="E691" s="1"/>
      <c r="F691" s="1"/>
    </row>
    <row r="692" ht="13.5" customHeight="1">
      <c r="A692" s="1"/>
      <c r="B692" s="1"/>
      <c r="C692" s="1"/>
      <c r="D692" s="1"/>
      <c r="E692" s="1"/>
      <c r="F692" s="1"/>
    </row>
    <row r="693" ht="13.5" customHeight="1">
      <c r="A693" s="1"/>
      <c r="B693" s="1"/>
      <c r="C693" s="1"/>
      <c r="D693" s="1"/>
      <c r="E693" s="1"/>
      <c r="F693" s="1"/>
    </row>
    <row r="694" ht="13.5" customHeight="1">
      <c r="A694" s="1"/>
      <c r="B694" s="1"/>
      <c r="C694" s="1"/>
      <c r="D694" s="1"/>
      <c r="E694" s="1"/>
      <c r="F694" s="1"/>
    </row>
    <row r="695" ht="13.5" customHeight="1">
      <c r="A695" s="1"/>
      <c r="B695" s="1"/>
      <c r="C695" s="1"/>
      <c r="D695" s="1"/>
      <c r="E695" s="1"/>
      <c r="F695" s="1"/>
    </row>
    <row r="696" ht="13.5" customHeight="1">
      <c r="A696" s="1"/>
      <c r="B696" s="1"/>
      <c r="C696" s="1"/>
      <c r="D696" s="1"/>
      <c r="E696" s="1"/>
      <c r="F696" s="1"/>
    </row>
    <row r="697" ht="13.5" customHeight="1">
      <c r="A697" s="1"/>
      <c r="B697" s="1"/>
      <c r="C697" s="1"/>
      <c r="D697" s="1"/>
      <c r="E697" s="1"/>
      <c r="F697" s="1"/>
    </row>
    <row r="698" ht="13.5" customHeight="1">
      <c r="A698" s="1"/>
      <c r="B698" s="1"/>
      <c r="C698" s="1"/>
      <c r="D698" s="1"/>
      <c r="E698" s="1"/>
      <c r="F698" s="1"/>
    </row>
    <row r="699" ht="13.5" customHeight="1">
      <c r="A699" s="1"/>
      <c r="B699" s="1"/>
      <c r="C699" s="1"/>
      <c r="D699" s="1"/>
      <c r="E699" s="1"/>
      <c r="F699" s="1"/>
    </row>
    <row r="700" ht="13.5" customHeight="1">
      <c r="A700" s="1"/>
      <c r="B700" s="1"/>
      <c r="C700" s="1"/>
      <c r="D700" s="1"/>
      <c r="E700" s="1"/>
      <c r="F700" s="1"/>
    </row>
    <row r="701" ht="13.5" customHeight="1">
      <c r="A701" s="1"/>
      <c r="B701" s="1"/>
      <c r="C701" s="1"/>
      <c r="D701" s="1"/>
      <c r="E701" s="1"/>
      <c r="F701" s="1"/>
    </row>
    <row r="702" ht="13.5" customHeight="1">
      <c r="A702" s="1"/>
      <c r="B702" s="1"/>
      <c r="C702" s="1"/>
      <c r="D702" s="1"/>
      <c r="E702" s="1"/>
      <c r="F702" s="1"/>
    </row>
    <row r="703" ht="13.5" customHeight="1">
      <c r="A703" s="1"/>
      <c r="B703" s="1"/>
      <c r="C703" s="1"/>
      <c r="D703" s="1"/>
      <c r="E703" s="1"/>
      <c r="F703" s="1"/>
    </row>
    <row r="704" ht="13.5" customHeight="1">
      <c r="A704" s="1"/>
      <c r="B704" s="1"/>
      <c r="C704" s="1"/>
      <c r="D704" s="1"/>
      <c r="E704" s="1"/>
      <c r="F704" s="1"/>
    </row>
    <row r="705" ht="13.5" customHeight="1">
      <c r="A705" s="1"/>
      <c r="B705" s="1"/>
      <c r="C705" s="1"/>
      <c r="D705" s="1"/>
      <c r="E705" s="1"/>
      <c r="F705" s="1"/>
    </row>
    <row r="706" ht="13.5" customHeight="1">
      <c r="A706" s="1"/>
      <c r="B706" s="1"/>
      <c r="C706" s="1"/>
      <c r="D706" s="1"/>
      <c r="E706" s="1"/>
      <c r="F706" s="1"/>
    </row>
    <row r="707" ht="13.5" customHeight="1">
      <c r="A707" s="1"/>
      <c r="B707" s="1"/>
      <c r="C707" s="1"/>
      <c r="D707" s="1"/>
      <c r="E707" s="1"/>
      <c r="F707" s="1"/>
    </row>
    <row r="708" ht="13.5" customHeight="1">
      <c r="A708" s="1"/>
      <c r="B708" s="1"/>
      <c r="C708" s="1"/>
      <c r="D708" s="1"/>
      <c r="E708" s="1"/>
      <c r="F708" s="1"/>
    </row>
    <row r="709" ht="13.5" customHeight="1">
      <c r="A709" s="1"/>
      <c r="B709" s="1"/>
      <c r="C709" s="1"/>
      <c r="D709" s="1"/>
      <c r="E709" s="1"/>
      <c r="F709" s="1"/>
    </row>
    <row r="710" ht="13.5" customHeight="1">
      <c r="A710" s="1"/>
      <c r="B710" s="1"/>
      <c r="C710" s="1"/>
      <c r="D710" s="1"/>
      <c r="E710" s="1"/>
      <c r="F710" s="1"/>
    </row>
    <row r="711" ht="13.5" customHeight="1">
      <c r="A711" s="1"/>
      <c r="B711" s="1"/>
      <c r="C711" s="1"/>
      <c r="D711" s="1"/>
      <c r="E711" s="1"/>
      <c r="F711" s="1"/>
    </row>
    <row r="712" ht="13.5" customHeight="1">
      <c r="A712" s="1"/>
      <c r="B712" s="1"/>
      <c r="C712" s="1"/>
      <c r="D712" s="1"/>
      <c r="E712" s="1"/>
      <c r="F712" s="1"/>
    </row>
    <row r="713" ht="13.5" customHeight="1">
      <c r="A713" s="1"/>
      <c r="B713" s="1"/>
      <c r="C713" s="1"/>
      <c r="D713" s="1"/>
      <c r="E713" s="1"/>
      <c r="F713" s="1"/>
    </row>
    <row r="714" ht="13.5" customHeight="1">
      <c r="A714" s="1"/>
      <c r="B714" s="1"/>
      <c r="C714" s="1"/>
      <c r="D714" s="1"/>
      <c r="E714" s="1"/>
      <c r="F714" s="1"/>
    </row>
    <row r="715" ht="13.5" customHeight="1">
      <c r="A715" s="1"/>
      <c r="B715" s="1"/>
      <c r="C715" s="1"/>
      <c r="D715" s="1"/>
      <c r="E715" s="1"/>
      <c r="F715" s="1"/>
    </row>
    <row r="716" ht="13.5" customHeight="1">
      <c r="A716" s="1"/>
      <c r="B716" s="1"/>
      <c r="C716" s="1"/>
      <c r="D716" s="1"/>
      <c r="E716" s="1"/>
      <c r="F716" s="1"/>
    </row>
    <row r="717" ht="13.5" customHeight="1">
      <c r="A717" s="1"/>
      <c r="B717" s="1"/>
      <c r="C717" s="1"/>
      <c r="D717" s="1"/>
      <c r="E717" s="1"/>
      <c r="F717" s="1"/>
    </row>
    <row r="718" ht="13.5" customHeight="1">
      <c r="A718" s="1"/>
      <c r="B718" s="1"/>
      <c r="C718" s="1"/>
      <c r="D718" s="1"/>
      <c r="E718" s="1"/>
      <c r="F718" s="1"/>
    </row>
    <row r="719" ht="13.5" customHeight="1">
      <c r="A719" s="1"/>
      <c r="B719" s="1"/>
      <c r="C719" s="1"/>
      <c r="D719" s="1"/>
      <c r="E719" s="1"/>
      <c r="F719" s="1"/>
    </row>
    <row r="720" ht="13.5" customHeight="1">
      <c r="A720" s="1"/>
      <c r="B720" s="1"/>
      <c r="C720" s="1"/>
      <c r="D720" s="1"/>
      <c r="E720" s="1"/>
      <c r="F720" s="1"/>
    </row>
    <row r="721" ht="13.5" customHeight="1">
      <c r="A721" s="1"/>
      <c r="B721" s="1"/>
      <c r="C721" s="1"/>
      <c r="D721" s="1"/>
      <c r="E721" s="1"/>
      <c r="F721" s="1"/>
    </row>
    <row r="722" ht="13.5" customHeight="1">
      <c r="A722" s="1"/>
      <c r="B722" s="1"/>
      <c r="C722" s="1"/>
      <c r="D722" s="1"/>
      <c r="E722" s="1"/>
      <c r="F722" s="1"/>
    </row>
    <row r="723" ht="13.5" customHeight="1">
      <c r="A723" s="1"/>
      <c r="B723" s="1"/>
      <c r="C723" s="1"/>
      <c r="D723" s="1"/>
      <c r="E723" s="1"/>
      <c r="F723" s="1"/>
    </row>
    <row r="724" ht="13.5" customHeight="1">
      <c r="A724" s="1"/>
      <c r="B724" s="1"/>
      <c r="C724" s="1"/>
      <c r="D724" s="1"/>
      <c r="E724" s="1"/>
      <c r="F724" s="1"/>
    </row>
    <row r="725" ht="13.5" customHeight="1">
      <c r="A725" s="1"/>
      <c r="B725" s="1"/>
      <c r="C725" s="1"/>
      <c r="D725" s="1"/>
      <c r="E725" s="1"/>
      <c r="F725" s="1"/>
    </row>
    <row r="726" ht="13.5" customHeight="1">
      <c r="A726" s="1"/>
      <c r="B726" s="1"/>
      <c r="C726" s="1"/>
      <c r="D726" s="1"/>
      <c r="E726" s="1"/>
      <c r="F726" s="1"/>
    </row>
    <row r="727" ht="13.5" customHeight="1">
      <c r="A727" s="1"/>
      <c r="B727" s="1"/>
      <c r="C727" s="1"/>
      <c r="D727" s="1"/>
      <c r="E727" s="1"/>
      <c r="F727" s="1"/>
    </row>
    <row r="728" ht="13.5" customHeight="1">
      <c r="A728" s="1"/>
      <c r="B728" s="1"/>
      <c r="C728" s="1"/>
      <c r="D728" s="1"/>
      <c r="E728" s="1"/>
      <c r="F728" s="1"/>
    </row>
    <row r="729" ht="13.5" customHeight="1">
      <c r="A729" s="1"/>
      <c r="B729" s="1"/>
      <c r="C729" s="1"/>
      <c r="D729" s="1"/>
      <c r="E729" s="1"/>
      <c r="F729" s="1"/>
    </row>
    <row r="730" ht="13.5" customHeight="1">
      <c r="A730" s="1"/>
      <c r="B730" s="1"/>
      <c r="C730" s="1"/>
      <c r="D730" s="1"/>
      <c r="E730" s="1"/>
      <c r="F730" s="1"/>
    </row>
    <row r="731" ht="13.5" customHeight="1">
      <c r="A731" s="1"/>
      <c r="B731" s="1"/>
      <c r="C731" s="1"/>
      <c r="D731" s="1"/>
      <c r="E731" s="1"/>
      <c r="F731" s="1"/>
    </row>
    <row r="732" ht="13.5" customHeight="1">
      <c r="A732" s="1"/>
      <c r="B732" s="1"/>
      <c r="C732" s="1"/>
      <c r="D732" s="1"/>
      <c r="E732" s="1"/>
      <c r="F732" s="1"/>
    </row>
    <row r="733" ht="13.5" customHeight="1">
      <c r="A733" s="1"/>
      <c r="B733" s="1"/>
      <c r="C733" s="1"/>
      <c r="D733" s="1"/>
      <c r="E733" s="1"/>
      <c r="F733" s="1"/>
    </row>
    <row r="734" ht="13.5" customHeight="1">
      <c r="A734" s="1"/>
      <c r="B734" s="1"/>
      <c r="C734" s="1"/>
      <c r="D734" s="1"/>
      <c r="E734" s="1"/>
      <c r="F734" s="1"/>
    </row>
    <row r="735" ht="13.5" customHeight="1">
      <c r="A735" s="1"/>
      <c r="B735" s="1"/>
      <c r="C735" s="1"/>
      <c r="D735" s="1"/>
      <c r="E735" s="1"/>
      <c r="F735" s="1"/>
    </row>
    <row r="736" ht="13.5" customHeight="1">
      <c r="A736" s="1"/>
      <c r="B736" s="1"/>
      <c r="C736" s="1"/>
      <c r="D736" s="1"/>
      <c r="E736" s="1"/>
      <c r="F736" s="1"/>
    </row>
    <row r="737" ht="13.5" customHeight="1">
      <c r="A737" s="1"/>
      <c r="B737" s="1"/>
      <c r="C737" s="1"/>
      <c r="D737" s="1"/>
      <c r="E737" s="1"/>
      <c r="F737" s="1"/>
    </row>
    <row r="738" ht="13.5" customHeight="1">
      <c r="A738" s="1"/>
      <c r="B738" s="1"/>
      <c r="C738" s="1"/>
      <c r="D738" s="1"/>
      <c r="E738" s="1"/>
      <c r="F738" s="1"/>
    </row>
    <row r="739" ht="13.5" customHeight="1">
      <c r="A739" s="1"/>
      <c r="B739" s="1"/>
      <c r="C739" s="1"/>
      <c r="D739" s="1"/>
      <c r="E739" s="1"/>
      <c r="F739" s="1"/>
    </row>
    <row r="740" ht="13.5" customHeight="1">
      <c r="A740" s="1"/>
      <c r="B740" s="1"/>
      <c r="C740" s="1"/>
      <c r="D740" s="1"/>
      <c r="E740" s="1"/>
      <c r="F740" s="1"/>
    </row>
    <row r="741" ht="13.5" customHeight="1">
      <c r="A741" s="1"/>
      <c r="B741" s="1"/>
      <c r="C741" s="1"/>
      <c r="D741" s="1"/>
      <c r="E741" s="1"/>
      <c r="F741" s="1"/>
    </row>
    <row r="742" ht="13.5" customHeight="1">
      <c r="A742" s="1"/>
      <c r="B742" s="1"/>
      <c r="C742" s="1"/>
      <c r="D742" s="1"/>
      <c r="E742" s="1"/>
      <c r="F742" s="1"/>
    </row>
    <row r="743" ht="13.5" customHeight="1">
      <c r="A743" s="1"/>
      <c r="B743" s="1"/>
      <c r="C743" s="1"/>
      <c r="D743" s="1"/>
      <c r="E743" s="1"/>
      <c r="F743" s="1"/>
    </row>
    <row r="744" ht="13.5" customHeight="1">
      <c r="A744" s="1"/>
      <c r="B744" s="1"/>
      <c r="C744" s="1"/>
      <c r="D744" s="1"/>
      <c r="E744" s="1"/>
      <c r="F744" s="1"/>
    </row>
    <row r="745" ht="13.5" customHeight="1">
      <c r="A745" s="1"/>
      <c r="B745" s="1"/>
      <c r="C745" s="1"/>
      <c r="D745" s="1"/>
      <c r="E745" s="1"/>
      <c r="F745" s="1"/>
    </row>
    <row r="746" ht="13.5" customHeight="1">
      <c r="A746" s="1"/>
      <c r="B746" s="1"/>
      <c r="C746" s="1"/>
      <c r="D746" s="1"/>
      <c r="E746" s="1"/>
      <c r="F746" s="1"/>
    </row>
    <row r="747" ht="13.5" customHeight="1">
      <c r="A747" s="1"/>
      <c r="B747" s="1"/>
      <c r="C747" s="1"/>
      <c r="D747" s="1"/>
      <c r="E747" s="1"/>
      <c r="F747" s="1"/>
    </row>
    <row r="748" ht="13.5" customHeight="1">
      <c r="A748" s="1"/>
      <c r="B748" s="1"/>
      <c r="C748" s="1"/>
      <c r="D748" s="1"/>
      <c r="E748" s="1"/>
      <c r="F748" s="1"/>
    </row>
    <row r="749" ht="13.5" customHeight="1">
      <c r="A749" s="1"/>
      <c r="B749" s="1"/>
      <c r="C749" s="1"/>
      <c r="D749" s="1"/>
      <c r="E749" s="1"/>
      <c r="F749" s="1"/>
    </row>
    <row r="750" ht="13.5" customHeight="1">
      <c r="A750" s="1"/>
      <c r="B750" s="1"/>
      <c r="C750" s="1"/>
      <c r="D750" s="1"/>
      <c r="E750" s="1"/>
      <c r="F750" s="1"/>
    </row>
    <row r="751" ht="13.5" customHeight="1">
      <c r="A751" s="1"/>
      <c r="B751" s="1"/>
      <c r="C751" s="1"/>
      <c r="D751" s="1"/>
      <c r="E751" s="1"/>
      <c r="F751" s="1"/>
    </row>
    <row r="752" ht="13.5" customHeight="1">
      <c r="A752" s="1"/>
      <c r="B752" s="1"/>
      <c r="C752" s="1"/>
      <c r="D752" s="1"/>
      <c r="E752" s="1"/>
      <c r="F752" s="1"/>
    </row>
    <row r="753" ht="13.5" customHeight="1">
      <c r="A753" s="1"/>
      <c r="B753" s="1"/>
      <c r="C753" s="1"/>
      <c r="D753" s="1"/>
      <c r="E753" s="1"/>
      <c r="F753" s="1"/>
    </row>
    <row r="754" ht="13.5" customHeight="1">
      <c r="A754" s="1"/>
      <c r="B754" s="1"/>
      <c r="C754" s="1"/>
      <c r="D754" s="1"/>
      <c r="E754" s="1"/>
      <c r="F754" s="1"/>
    </row>
    <row r="755" ht="13.5" customHeight="1">
      <c r="A755" s="1"/>
      <c r="B755" s="1"/>
      <c r="C755" s="1"/>
      <c r="D755" s="1"/>
      <c r="E755" s="1"/>
      <c r="F755" s="1"/>
    </row>
    <row r="756" ht="13.5" customHeight="1">
      <c r="A756" s="1"/>
      <c r="B756" s="1"/>
      <c r="C756" s="1"/>
      <c r="D756" s="1"/>
      <c r="E756" s="1"/>
      <c r="F756" s="1"/>
    </row>
    <row r="757" ht="13.5" customHeight="1">
      <c r="A757" s="1"/>
      <c r="B757" s="1"/>
      <c r="C757" s="1"/>
      <c r="D757" s="1"/>
      <c r="E757" s="1"/>
      <c r="F757" s="1"/>
    </row>
    <row r="758" ht="13.5" customHeight="1">
      <c r="A758" s="1"/>
      <c r="B758" s="1"/>
      <c r="C758" s="1"/>
      <c r="D758" s="1"/>
      <c r="E758" s="1"/>
      <c r="F758" s="1"/>
    </row>
    <row r="759" ht="13.5" customHeight="1">
      <c r="A759" s="1"/>
      <c r="B759" s="1"/>
      <c r="C759" s="1"/>
      <c r="D759" s="1"/>
      <c r="E759" s="1"/>
      <c r="F759" s="1"/>
    </row>
    <row r="760" ht="13.5" customHeight="1">
      <c r="A760" s="1"/>
      <c r="B760" s="1"/>
      <c r="C760" s="1"/>
      <c r="D760" s="1"/>
      <c r="E760" s="1"/>
      <c r="F760" s="1"/>
    </row>
    <row r="761" ht="13.5" customHeight="1">
      <c r="A761" s="1"/>
      <c r="B761" s="1"/>
      <c r="C761" s="1"/>
      <c r="D761" s="1"/>
      <c r="E761" s="1"/>
      <c r="F761" s="1"/>
    </row>
    <row r="762" ht="13.5" customHeight="1">
      <c r="A762" s="1"/>
      <c r="B762" s="1"/>
      <c r="C762" s="1"/>
      <c r="D762" s="1"/>
      <c r="E762" s="1"/>
      <c r="F762" s="1"/>
    </row>
    <row r="763" ht="13.5" customHeight="1">
      <c r="A763" s="1"/>
      <c r="B763" s="1"/>
      <c r="C763" s="1"/>
      <c r="D763" s="1"/>
      <c r="E763" s="1"/>
      <c r="F763" s="1"/>
    </row>
    <row r="764" ht="13.5" customHeight="1">
      <c r="A764" s="1"/>
      <c r="B764" s="1"/>
      <c r="C764" s="1"/>
      <c r="D764" s="1"/>
      <c r="E764" s="1"/>
      <c r="F764" s="1"/>
    </row>
    <row r="765" ht="13.5" customHeight="1">
      <c r="A765" s="1"/>
      <c r="B765" s="1"/>
      <c r="C765" s="1"/>
      <c r="D765" s="1"/>
      <c r="E765" s="1"/>
      <c r="F765" s="1"/>
    </row>
    <row r="766" ht="13.5" customHeight="1">
      <c r="A766" s="1"/>
      <c r="B766" s="1"/>
      <c r="C766" s="1"/>
      <c r="D766" s="1"/>
      <c r="E766" s="1"/>
      <c r="F766" s="1"/>
    </row>
    <row r="767" ht="13.5" customHeight="1">
      <c r="A767" s="1"/>
      <c r="B767" s="1"/>
      <c r="C767" s="1"/>
      <c r="D767" s="1"/>
      <c r="E767" s="1"/>
      <c r="F767" s="1"/>
    </row>
    <row r="768" ht="13.5" customHeight="1">
      <c r="A768" s="1"/>
      <c r="B768" s="1"/>
      <c r="C768" s="1"/>
      <c r="D768" s="1"/>
      <c r="E768" s="1"/>
      <c r="F768" s="1"/>
    </row>
    <row r="769" ht="13.5" customHeight="1">
      <c r="A769" s="1"/>
      <c r="B769" s="1"/>
      <c r="C769" s="1"/>
      <c r="D769" s="1"/>
      <c r="E769" s="1"/>
      <c r="F769" s="1"/>
    </row>
    <row r="770" ht="13.5" customHeight="1">
      <c r="A770" s="1"/>
      <c r="B770" s="1"/>
      <c r="C770" s="1"/>
      <c r="D770" s="1"/>
      <c r="E770" s="1"/>
      <c r="F770" s="1"/>
    </row>
    <row r="771" ht="13.5" customHeight="1">
      <c r="A771" s="1"/>
      <c r="B771" s="1"/>
      <c r="C771" s="1"/>
      <c r="D771" s="1"/>
      <c r="E771" s="1"/>
      <c r="F771" s="1"/>
    </row>
    <row r="772" ht="13.5" customHeight="1">
      <c r="A772" s="1"/>
      <c r="B772" s="1"/>
      <c r="C772" s="1"/>
      <c r="D772" s="1"/>
      <c r="E772" s="1"/>
      <c r="F772" s="1"/>
    </row>
    <row r="773" ht="13.5" customHeight="1">
      <c r="A773" s="1"/>
      <c r="B773" s="1"/>
      <c r="C773" s="1"/>
      <c r="D773" s="1"/>
      <c r="E773" s="1"/>
      <c r="F773" s="1"/>
    </row>
    <row r="774" ht="13.5" customHeight="1">
      <c r="A774" s="1"/>
      <c r="B774" s="1"/>
      <c r="C774" s="1"/>
      <c r="D774" s="1"/>
      <c r="E774" s="1"/>
      <c r="F774" s="1"/>
    </row>
    <row r="775" ht="13.5" customHeight="1">
      <c r="A775" s="1"/>
      <c r="B775" s="1"/>
      <c r="C775" s="1"/>
      <c r="D775" s="1"/>
      <c r="E775" s="1"/>
      <c r="F775" s="1"/>
    </row>
    <row r="776" ht="13.5" customHeight="1">
      <c r="A776" s="1"/>
      <c r="B776" s="1"/>
      <c r="C776" s="1"/>
      <c r="D776" s="1"/>
      <c r="E776" s="1"/>
      <c r="F776" s="1"/>
    </row>
    <row r="777" ht="13.5" customHeight="1">
      <c r="A777" s="1"/>
      <c r="B777" s="1"/>
      <c r="C777" s="1"/>
      <c r="D777" s="1"/>
      <c r="E777" s="1"/>
      <c r="F777" s="1"/>
    </row>
    <row r="778" ht="13.5" customHeight="1">
      <c r="A778" s="1"/>
      <c r="B778" s="1"/>
      <c r="C778" s="1"/>
      <c r="D778" s="1"/>
      <c r="E778" s="1"/>
      <c r="F778" s="1"/>
    </row>
    <row r="779" ht="13.5" customHeight="1">
      <c r="A779" s="1"/>
      <c r="B779" s="1"/>
      <c r="C779" s="1"/>
      <c r="D779" s="1"/>
      <c r="E779" s="1"/>
      <c r="F779" s="1"/>
    </row>
    <row r="780" ht="13.5" customHeight="1">
      <c r="A780" s="1"/>
      <c r="B780" s="1"/>
      <c r="C780" s="1"/>
      <c r="D780" s="1"/>
      <c r="E780" s="1"/>
      <c r="F780" s="1"/>
    </row>
    <row r="781" ht="13.5" customHeight="1">
      <c r="A781" s="1"/>
      <c r="B781" s="1"/>
      <c r="C781" s="1"/>
      <c r="D781" s="1"/>
      <c r="E781" s="1"/>
      <c r="F781" s="1"/>
    </row>
    <row r="782" ht="13.5" customHeight="1">
      <c r="A782" s="1"/>
      <c r="B782" s="1"/>
      <c r="C782" s="1"/>
      <c r="D782" s="1"/>
      <c r="E782" s="1"/>
      <c r="F782" s="1"/>
    </row>
    <row r="783" ht="13.5" customHeight="1">
      <c r="A783" s="1"/>
      <c r="B783" s="1"/>
      <c r="C783" s="1"/>
      <c r="D783" s="1"/>
      <c r="E783" s="1"/>
      <c r="F783" s="1"/>
    </row>
    <row r="784" ht="13.5" customHeight="1">
      <c r="A784" s="1"/>
      <c r="B784" s="1"/>
      <c r="C784" s="1"/>
      <c r="D784" s="1"/>
      <c r="E784" s="1"/>
      <c r="F784" s="1"/>
    </row>
    <row r="785" ht="13.5" customHeight="1">
      <c r="A785" s="1"/>
      <c r="B785" s="1"/>
      <c r="C785" s="1"/>
      <c r="D785" s="1"/>
      <c r="E785" s="1"/>
      <c r="F785" s="1"/>
    </row>
    <row r="786" ht="13.5" customHeight="1">
      <c r="A786" s="1"/>
      <c r="B786" s="1"/>
      <c r="C786" s="1"/>
      <c r="D786" s="1"/>
      <c r="E786" s="1"/>
      <c r="F786" s="1"/>
    </row>
    <row r="787" ht="13.5" customHeight="1">
      <c r="A787" s="1"/>
      <c r="B787" s="1"/>
      <c r="C787" s="1"/>
      <c r="D787" s="1"/>
      <c r="E787" s="1"/>
      <c r="F787" s="1"/>
    </row>
    <row r="788" ht="13.5" customHeight="1">
      <c r="A788" s="1"/>
      <c r="B788" s="1"/>
      <c r="C788" s="1"/>
      <c r="D788" s="1"/>
      <c r="E788" s="1"/>
      <c r="F788" s="1"/>
    </row>
    <row r="789" ht="13.5" customHeight="1">
      <c r="A789" s="1"/>
      <c r="B789" s="1"/>
      <c r="C789" s="1"/>
      <c r="D789" s="1"/>
      <c r="E789" s="1"/>
      <c r="F789" s="1"/>
    </row>
    <row r="790" ht="13.5" customHeight="1">
      <c r="A790" s="1"/>
      <c r="B790" s="1"/>
      <c r="C790" s="1"/>
      <c r="D790" s="1"/>
      <c r="E790" s="1"/>
      <c r="F790" s="1"/>
    </row>
    <row r="791" ht="13.5" customHeight="1">
      <c r="A791" s="1"/>
      <c r="B791" s="1"/>
      <c r="C791" s="1"/>
      <c r="D791" s="1"/>
      <c r="E791" s="1"/>
      <c r="F791" s="1"/>
    </row>
    <row r="792" ht="13.5" customHeight="1">
      <c r="A792" s="1"/>
      <c r="B792" s="1"/>
      <c r="C792" s="1"/>
      <c r="D792" s="1"/>
      <c r="E792" s="1"/>
      <c r="F792" s="1"/>
    </row>
    <row r="793" ht="13.5" customHeight="1">
      <c r="A793" s="1"/>
      <c r="B793" s="1"/>
      <c r="C793" s="1"/>
      <c r="D793" s="1"/>
      <c r="E793" s="1"/>
      <c r="F793" s="1"/>
    </row>
    <row r="794" ht="13.5" customHeight="1">
      <c r="A794" s="1"/>
      <c r="B794" s="1"/>
      <c r="C794" s="1"/>
      <c r="D794" s="1"/>
      <c r="E794" s="1"/>
      <c r="F794" s="1"/>
    </row>
    <row r="795" ht="13.5" customHeight="1">
      <c r="A795" s="1"/>
      <c r="B795" s="1"/>
      <c r="C795" s="1"/>
      <c r="D795" s="1"/>
      <c r="E795" s="1"/>
      <c r="F795" s="1"/>
    </row>
    <row r="796" ht="13.5" customHeight="1">
      <c r="A796" s="1"/>
      <c r="B796" s="1"/>
      <c r="C796" s="1"/>
      <c r="D796" s="1"/>
      <c r="E796" s="1"/>
      <c r="F796" s="1"/>
    </row>
    <row r="797" ht="13.5" customHeight="1">
      <c r="A797" s="1"/>
      <c r="B797" s="1"/>
      <c r="C797" s="1"/>
      <c r="D797" s="1"/>
      <c r="E797" s="1"/>
      <c r="F797" s="1"/>
    </row>
    <row r="798" ht="13.5" customHeight="1">
      <c r="A798" s="1"/>
      <c r="B798" s="1"/>
      <c r="C798" s="1"/>
      <c r="D798" s="1"/>
      <c r="E798" s="1"/>
      <c r="F798" s="1"/>
    </row>
    <row r="799" ht="13.5" customHeight="1">
      <c r="A799" s="1"/>
      <c r="B799" s="1"/>
      <c r="C799" s="1"/>
      <c r="D799" s="1"/>
      <c r="E799" s="1"/>
      <c r="F799" s="1"/>
    </row>
    <row r="800" ht="13.5" customHeight="1">
      <c r="A800" s="1"/>
      <c r="B800" s="1"/>
      <c r="C800" s="1"/>
      <c r="D800" s="1"/>
      <c r="E800" s="1"/>
      <c r="F800" s="1"/>
    </row>
    <row r="801" ht="13.5" customHeight="1">
      <c r="A801" s="1"/>
      <c r="B801" s="1"/>
      <c r="C801" s="1"/>
      <c r="D801" s="1"/>
      <c r="E801" s="1"/>
      <c r="F801" s="1"/>
    </row>
    <row r="802" ht="13.5" customHeight="1">
      <c r="A802" s="1"/>
      <c r="B802" s="1"/>
      <c r="C802" s="1"/>
      <c r="D802" s="1"/>
      <c r="E802" s="1"/>
      <c r="F802" s="1"/>
    </row>
    <row r="803" ht="13.5" customHeight="1">
      <c r="A803" s="1"/>
      <c r="B803" s="1"/>
      <c r="C803" s="1"/>
      <c r="D803" s="1"/>
      <c r="E803" s="1"/>
      <c r="F803" s="1"/>
    </row>
    <row r="804" ht="13.5" customHeight="1">
      <c r="A804" s="1"/>
      <c r="B804" s="1"/>
      <c r="C804" s="1"/>
      <c r="D804" s="1"/>
      <c r="E804" s="1"/>
      <c r="F804" s="1"/>
    </row>
    <row r="805" ht="13.5" customHeight="1">
      <c r="A805" s="1"/>
      <c r="B805" s="1"/>
      <c r="C805" s="1"/>
      <c r="D805" s="1"/>
      <c r="E805" s="1"/>
      <c r="F805" s="1"/>
    </row>
    <row r="806" ht="13.5" customHeight="1">
      <c r="A806" s="1"/>
      <c r="B806" s="1"/>
      <c r="C806" s="1"/>
      <c r="D806" s="1"/>
      <c r="E806" s="1"/>
      <c r="F806" s="1"/>
    </row>
    <row r="807" ht="13.5" customHeight="1">
      <c r="A807" s="1"/>
      <c r="B807" s="1"/>
      <c r="C807" s="1"/>
      <c r="D807" s="1"/>
      <c r="E807" s="1"/>
      <c r="F807" s="1"/>
    </row>
    <row r="808" ht="13.5" customHeight="1">
      <c r="A808" s="1"/>
      <c r="B808" s="1"/>
      <c r="C808" s="1"/>
      <c r="D808" s="1"/>
      <c r="E808" s="1"/>
      <c r="F808" s="1"/>
    </row>
    <row r="809" ht="13.5" customHeight="1">
      <c r="A809" s="1"/>
      <c r="B809" s="1"/>
      <c r="C809" s="1"/>
      <c r="D809" s="1"/>
      <c r="E809" s="1"/>
      <c r="F809" s="1"/>
    </row>
    <row r="810" ht="13.5" customHeight="1">
      <c r="A810" s="1"/>
      <c r="B810" s="1"/>
      <c r="C810" s="1"/>
      <c r="D810" s="1"/>
      <c r="E810" s="1"/>
      <c r="F810" s="1"/>
    </row>
    <row r="811" ht="13.5" customHeight="1">
      <c r="A811" s="1"/>
      <c r="B811" s="1"/>
      <c r="C811" s="1"/>
      <c r="D811" s="1"/>
      <c r="E811" s="1"/>
      <c r="F811" s="1"/>
    </row>
    <row r="812" ht="13.5" customHeight="1">
      <c r="A812" s="1"/>
      <c r="B812" s="1"/>
      <c r="C812" s="1"/>
      <c r="D812" s="1"/>
      <c r="E812" s="1"/>
      <c r="F812" s="1"/>
    </row>
    <row r="813" ht="13.5" customHeight="1">
      <c r="A813" s="1"/>
      <c r="B813" s="1"/>
      <c r="C813" s="1"/>
      <c r="D813" s="1"/>
      <c r="E813" s="1"/>
      <c r="F813" s="1"/>
    </row>
    <row r="814" ht="13.5" customHeight="1">
      <c r="A814" s="1"/>
      <c r="B814" s="1"/>
      <c r="C814" s="1"/>
      <c r="D814" s="1"/>
      <c r="E814" s="1"/>
      <c r="F814" s="1"/>
    </row>
    <row r="815" ht="13.5" customHeight="1">
      <c r="A815" s="1"/>
      <c r="B815" s="1"/>
      <c r="C815" s="1"/>
      <c r="D815" s="1"/>
      <c r="E815" s="1"/>
      <c r="F815" s="1"/>
    </row>
    <row r="816" ht="13.5" customHeight="1">
      <c r="A816" s="1"/>
      <c r="B816" s="1"/>
      <c r="C816" s="1"/>
      <c r="D816" s="1"/>
      <c r="E816" s="1"/>
      <c r="F816" s="1"/>
    </row>
    <row r="817" ht="13.5" customHeight="1">
      <c r="A817" s="1"/>
      <c r="B817" s="1"/>
      <c r="C817" s="1"/>
      <c r="D817" s="1"/>
      <c r="E817" s="1"/>
      <c r="F817" s="1"/>
    </row>
    <row r="818" ht="13.5" customHeight="1">
      <c r="A818" s="1"/>
      <c r="B818" s="1"/>
      <c r="C818" s="1"/>
      <c r="D818" s="1"/>
      <c r="E818" s="1"/>
      <c r="F818" s="1"/>
    </row>
    <row r="819" ht="13.5" customHeight="1">
      <c r="A819" s="1"/>
      <c r="B819" s="1"/>
      <c r="C819" s="1"/>
      <c r="D819" s="1"/>
      <c r="E819" s="1"/>
      <c r="F819" s="1"/>
    </row>
    <row r="820" ht="13.5" customHeight="1">
      <c r="A820" s="1"/>
      <c r="B820" s="1"/>
      <c r="C820" s="1"/>
      <c r="D820" s="1"/>
      <c r="E820" s="1"/>
      <c r="F820" s="1"/>
    </row>
    <row r="821" ht="13.5" customHeight="1">
      <c r="A821" s="1"/>
      <c r="B821" s="1"/>
      <c r="C821" s="1"/>
      <c r="D821" s="1"/>
      <c r="E821" s="1"/>
      <c r="F821" s="1"/>
    </row>
    <row r="822" ht="13.5" customHeight="1">
      <c r="A822" s="1"/>
      <c r="B822" s="1"/>
      <c r="C822" s="1"/>
      <c r="D822" s="1"/>
      <c r="E822" s="1"/>
      <c r="F822" s="1"/>
    </row>
    <row r="823" ht="13.5" customHeight="1">
      <c r="A823" s="1"/>
      <c r="B823" s="1"/>
      <c r="C823" s="1"/>
      <c r="D823" s="1"/>
      <c r="E823" s="1"/>
      <c r="F823" s="1"/>
    </row>
    <row r="824" ht="13.5" customHeight="1">
      <c r="A824" s="1"/>
      <c r="B824" s="1"/>
      <c r="C824" s="1"/>
      <c r="D824" s="1"/>
      <c r="E824" s="1"/>
      <c r="F824" s="1"/>
    </row>
    <row r="825" ht="13.5" customHeight="1">
      <c r="A825" s="1"/>
      <c r="B825" s="1"/>
      <c r="C825" s="1"/>
      <c r="D825" s="1"/>
      <c r="E825" s="1"/>
      <c r="F825" s="1"/>
    </row>
    <row r="826" ht="13.5" customHeight="1">
      <c r="A826" s="1"/>
      <c r="B826" s="1"/>
      <c r="C826" s="1"/>
      <c r="D826" s="1"/>
      <c r="E826" s="1"/>
      <c r="F826" s="1"/>
    </row>
    <row r="827" ht="13.5" customHeight="1">
      <c r="A827" s="1"/>
      <c r="B827" s="1"/>
      <c r="C827" s="1"/>
      <c r="D827" s="1"/>
      <c r="E827" s="1"/>
      <c r="F827" s="1"/>
    </row>
    <row r="828" ht="13.5" customHeight="1">
      <c r="A828" s="1"/>
      <c r="B828" s="1"/>
      <c r="C828" s="1"/>
      <c r="D828" s="1"/>
      <c r="E828" s="1"/>
      <c r="F828" s="1"/>
    </row>
    <row r="829" ht="13.5" customHeight="1">
      <c r="A829" s="1"/>
      <c r="B829" s="1"/>
      <c r="C829" s="1"/>
      <c r="D829" s="1"/>
      <c r="E829" s="1"/>
      <c r="F829" s="1"/>
    </row>
    <row r="830" ht="13.5" customHeight="1">
      <c r="A830" s="1"/>
      <c r="B830" s="1"/>
      <c r="C830" s="1"/>
      <c r="D830" s="1"/>
      <c r="E830" s="1"/>
      <c r="F830" s="1"/>
    </row>
    <row r="831" ht="13.5" customHeight="1">
      <c r="A831" s="1"/>
      <c r="B831" s="1"/>
      <c r="C831" s="1"/>
      <c r="D831" s="1"/>
      <c r="E831" s="1"/>
      <c r="F831" s="1"/>
    </row>
    <row r="832" ht="13.5" customHeight="1">
      <c r="A832" s="1"/>
      <c r="B832" s="1"/>
      <c r="C832" s="1"/>
      <c r="D832" s="1"/>
      <c r="E832" s="1"/>
      <c r="F832" s="1"/>
    </row>
    <row r="833" ht="13.5" customHeight="1">
      <c r="A833" s="1"/>
      <c r="B833" s="1"/>
      <c r="C833" s="1"/>
      <c r="D833" s="1"/>
      <c r="E833" s="1"/>
      <c r="F833" s="1"/>
    </row>
    <row r="834" ht="13.5" customHeight="1">
      <c r="A834" s="1"/>
      <c r="B834" s="1"/>
      <c r="C834" s="1"/>
      <c r="D834" s="1"/>
      <c r="E834" s="1"/>
      <c r="F834" s="1"/>
    </row>
    <row r="835" ht="13.5" customHeight="1">
      <c r="A835" s="1"/>
      <c r="B835" s="1"/>
      <c r="C835" s="1"/>
      <c r="D835" s="1"/>
      <c r="E835" s="1"/>
      <c r="F835" s="1"/>
    </row>
    <row r="836" ht="13.5" customHeight="1">
      <c r="A836" s="1"/>
      <c r="B836" s="1"/>
      <c r="C836" s="1"/>
      <c r="D836" s="1"/>
      <c r="E836" s="1"/>
      <c r="F836" s="1"/>
    </row>
    <row r="837" ht="13.5" customHeight="1">
      <c r="A837" s="1"/>
      <c r="B837" s="1"/>
      <c r="C837" s="1"/>
      <c r="D837" s="1"/>
      <c r="E837" s="1"/>
      <c r="F837" s="1"/>
    </row>
    <row r="838" ht="13.5" customHeight="1">
      <c r="A838" s="1"/>
      <c r="B838" s="1"/>
      <c r="C838" s="1"/>
      <c r="D838" s="1"/>
      <c r="E838" s="1"/>
      <c r="F838" s="1"/>
    </row>
    <row r="839" ht="13.5" customHeight="1">
      <c r="A839" s="1"/>
      <c r="B839" s="1"/>
      <c r="C839" s="1"/>
      <c r="D839" s="1"/>
      <c r="E839" s="1"/>
      <c r="F839" s="1"/>
    </row>
    <row r="840" ht="13.5" customHeight="1">
      <c r="A840" s="1"/>
      <c r="B840" s="1"/>
      <c r="C840" s="1"/>
      <c r="D840" s="1"/>
      <c r="E840" s="1"/>
      <c r="F840" s="1"/>
    </row>
    <row r="841" ht="13.5" customHeight="1">
      <c r="A841" s="1"/>
      <c r="B841" s="1"/>
      <c r="C841" s="1"/>
      <c r="D841" s="1"/>
      <c r="E841" s="1"/>
      <c r="F841" s="1"/>
    </row>
    <row r="842" ht="13.5" customHeight="1">
      <c r="A842" s="1"/>
      <c r="B842" s="1"/>
      <c r="C842" s="1"/>
      <c r="D842" s="1"/>
      <c r="E842" s="1"/>
      <c r="F842" s="1"/>
    </row>
    <row r="843" ht="13.5" customHeight="1">
      <c r="A843" s="1"/>
      <c r="B843" s="1"/>
      <c r="C843" s="1"/>
      <c r="D843" s="1"/>
      <c r="E843" s="1"/>
      <c r="F843" s="1"/>
    </row>
    <row r="844" ht="13.5" customHeight="1">
      <c r="A844" s="1"/>
      <c r="B844" s="1"/>
      <c r="C844" s="1"/>
      <c r="D844" s="1"/>
      <c r="E844" s="1"/>
      <c r="F844" s="1"/>
    </row>
    <row r="845" ht="13.5" customHeight="1">
      <c r="A845" s="1"/>
      <c r="B845" s="1"/>
      <c r="C845" s="1"/>
      <c r="D845" s="1"/>
      <c r="E845" s="1"/>
      <c r="F845" s="1"/>
    </row>
    <row r="846" ht="13.5" customHeight="1">
      <c r="A846" s="1"/>
      <c r="B846" s="1"/>
      <c r="C846" s="1"/>
      <c r="D846" s="1"/>
      <c r="E846" s="1"/>
      <c r="F846" s="1"/>
    </row>
    <row r="847" ht="13.5" customHeight="1">
      <c r="A847" s="1"/>
      <c r="B847" s="1"/>
      <c r="C847" s="1"/>
      <c r="D847" s="1"/>
      <c r="E847" s="1"/>
      <c r="F847" s="1"/>
    </row>
    <row r="848" ht="13.5" customHeight="1">
      <c r="A848" s="1"/>
      <c r="B848" s="1"/>
      <c r="C848" s="1"/>
      <c r="D848" s="1"/>
      <c r="E848" s="1"/>
      <c r="F848" s="1"/>
    </row>
    <row r="849" ht="13.5" customHeight="1">
      <c r="A849" s="1"/>
      <c r="B849" s="1"/>
      <c r="C849" s="1"/>
      <c r="D849" s="1"/>
      <c r="E849" s="1"/>
      <c r="F849" s="1"/>
    </row>
    <row r="850" ht="13.5" customHeight="1">
      <c r="A850" s="1"/>
      <c r="B850" s="1"/>
      <c r="C850" s="1"/>
      <c r="D850" s="1"/>
      <c r="E850" s="1"/>
      <c r="F850" s="1"/>
    </row>
    <row r="851" ht="13.5" customHeight="1">
      <c r="A851" s="1"/>
      <c r="B851" s="1"/>
      <c r="C851" s="1"/>
      <c r="D851" s="1"/>
      <c r="E851" s="1"/>
      <c r="F851" s="1"/>
    </row>
    <row r="852" ht="13.5" customHeight="1">
      <c r="A852" s="1"/>
      <c r="B852" s="1"/>
      <c r="C852" s="1"/>
      <c r="D852" s="1"/>
      <c r="E852" s="1"/>
      <c r="F852" s="1"/>
    </row>
    <row r="853" ht="13.5" customHeight="1">
      <c r="A853" s="1"/>
      <c r="B853" s="1"/>
      <c r="C853" s="1"/>
      <c r="D853" s="1"/>
      <c r="E853" s="1"/>
      <c r="F853" s="1"/>
    </row>
    <row r="854" ht="13.5" customHeight="1">
      <c r="A854" s="1"/>
      <c r="B854" s="1"/>
      <c r="C854" s="1"/>
      <c r="D854" s="1"/>
      <c r="E854" s="1"/>
      <c r="F854" s="1"/>
    </row>
    <row r="855" ht="13.5" customHeight="1">
      <c r="A855" s="1"/>
      <c r="B855" s="1"/>
      <c r="C855" s="1"/>
      <c r="D855" s="1"/>
      <c r="E855" s="1"/>
      <c r="F855" s="1"/>
    </row>
    <row r="856" ht="13.5" customHeight="1">
      <c r="A856" s="1"/>
      <c r="B856" s="1"/>
      <c r="C856" s="1"/>
      <c r="D856" s="1"/>
      <c r="E856" s="1"/>
      <c r="F856" s="1"/>
    </row>
    <row r="857" ht="13.5" customHeight="1">
      <c r="A857" s="1"/>
      <c r="B857" s="1"/>
      <c r="C857" s="1"/>
      <c r="D857" s="1"/>
      <c r="E857" s="1"/>
      <c r="F857" s="1"/>
    </row>
    <row r="858" ht="13.5" customHeight="1">
      <c r="A858" s="1"/>
      <c r="B858" s="1"/>
      <c r="C858" s="1"/>
      <c r="D858" s="1"/>
      <c r="E858" s="1"/>
      <c r="F858" s="1"/>
    </row>
    <row r="859" ht="13.5" customHeight="1">
      <c r="A859" s="1"/>
      <c r="B859" s="1"/>
      <c r="C859" s="1"/>
      <c r="D859" s="1"/>
      <c r="E859" s="1"/>
      <c r="F859" s="1"/>
    </row>
    <row r="860" ht="13.5" customHeight="1">
      <c r="A860" s="1"/>
      <c r="B860" s="1"/>
      <c r="C860" s="1"/>
      <c r="D860" s="1"/>
      <c r="E860" s="1"/>
      <c r="F860" s="1"/>
    </row>
    <row r="861" ht="13.5" customHeight="1">
      <c r="A861" s="1"/>
      <c r="B861" s="1"/>
      <c r="C861" s="1"/>
      <c r="D861" s="1"/>
      <c r="E861" s="1"/>
      <c r="F861" s="1"/>
    </row>
    <row r="862" ht="13.5" customHeight="1">
      <c r="A862" s="1"/>
      <c r="B862" s="1"/>
      <c r="C862" s="1"/>
      <c r="D862" s="1"/>
      <c r="E862" s="1"/>
      <c r="F862" s="1"/>
    </row>
    <row r="863" ht="13.5" customHeight="1">
      <c r="A863" s="1"/>
      <c r="B863" s="1"/>
      <c r="C863" s="1"/>
      <c r="D863" s="1"/>
      <c r="E863" s="1"/>
      <c r="F863" s="1"/>
    </row>
    <row r="864" ht="13.5" customHeight="1">
      <c r="A864" s="1"/>
      <c r="B864" s="1"/>
      <c r="C864" s="1"/>
      <c r="D864" s="1"/>
      <c r="E864" s="1"/>
      <c r="F864" s="1"/>
    </row>
    <row r="865" ht="13.5" customHeight="1">
      <c r="A865" s="1"/>
      <c r="B865" s="1"/>
      <c r="C865" s="1"/>
      <c r="D865" s="1"/>
      <c r="E865" s="1"/>
      <c r="F865" s="1"/>
    </row>
    <row r="866" ht="13.5" customHeight="1">
      <c r="A866" s="1"/>
      <c r="B866" s="1"/>
      <c r="C866" s="1"/>
      <c r="D866" s="1"/>
      <c r="E866" s="1"/>
      <c r="F866" s="1"/>
    </row>
    <row r="867" ht="13.5" customHeight="1">
      <c r="A867" s="1"/>
      <c r="B867" s="1"/>
      <c r="C867" s="1"/>
      <c r="D867" s="1"/>
      <c r="E867" s="1"/>
      <c r="F867" s="1"/>
    </row>
    <row r="868" ht="13.5" customHeight="1">
      <c r="A868" s="1"/>
      <c r="B868" s="1"/>
      <c r="C868" s="1"/>
      <c r="D868" s="1"/>
      <c r="E868" s="1"/>
      <c r="F868" s="1"/>
    </row>
    <row r="869" ht="13.5" customHeight="1">
      <c r="A869" s="1"/>
      <c r="B869" s="1"/>
      <c r="C869" s="1"/>
      <c r="D869" s="1"/>
      <c r="E869" s="1"/>
      <c r="F869" s="1"/>
    </row>
    <row r="870" ht="13.5" customHeight="1">
      <c r="A870" s="1"/>
      <c r="B870" s="1"/>
      <c r="C870" s="1"/>
      <c r="D870" s="1"/>
      <c r="E870" s="1"/>
      <c r="F870" s="1"/>
    </row>
    <row r="871" ht="13.5" customHeight="1">
      <c r="A871" s="1"/>
      <c r="B871" s="1"/>
      <c r="C871" s="1"/>
      <c r="D871" s="1"/>
      <c r="E871" s="1"/>
      <c r="F871" s="1"/>
    </row>
    <row r="872" ht="13.5" customHeight="1">
      <c r="A872" s="1"/>
      <c r="B872" s="1"/>
      <c r="C872" s="1"/>
      <c r="D872" s="1"/>
      <c r="E872" s="1"/>
      <c r="F872" s="1"/>
    </row>
    <row r="873" ht="13.5" customHeight="1">
      <c r="A873" s="1"/>
      <c r="B873" s="1"/>
      <c r="C873" s="1"/>
      <c r="D873" s="1"/>
      <c r="E873" s="1"/>
      <c r="F873" s="1"/>
    </row>
    <row r="874" ht="13.5" customHeight="1">
      <c r="A874" s="1"/>
      <c r="B874" s="1"/>
      <c r="C874" s="1"/>
      <c r="D874" s="1"/>
      <c r="E874" s="1"/>
      <c r="F874" s="1"/>
    </row>
    <row r="875" ht="13.5" customHeight="1">
      <c r="A875" s="1"/>
      <c r="B875" s="1"/>
      <c r="C875" s="1"/>
      <c r="D875" s="1"/>
      <c r="E875" s="1"/>
      <c r="F875" s="1"/>
    </row>
    <row r="876" ht="13.5" customHeight="1">
      <c r="A876" s="1"/>
      <c r="B876" s="1"/>
      <c r="C876" s="1"/>
      <c r="D876" s="1"/>
      <c r="E876" s="1"/>
      <c r="F876" s="1"/>
    </row>
    <row r="877" ht="13.5" customHeight="1">
      <c r="A877" s="1"/>
      <c r="B877" s="1"/>
      <c r="C877" s="1"/>
      <c r="D877" s="1"/>
      <c r="E877" s="1"/>
      <c r="F877" s="1"/>
    </row>
    <row r="878" ht="13.5" customHeight="1">
      <c r="A878" s="1"/>
      <c r="B878" s="1"/>
      <c r="C878" s="1"/>
      <c r="D878" s="1"/>
      <c r="E878" s="1"/>
      <c r="F878" s="1"/>
    </row>
    <row r="879" ht="13.5" customHeight="1">
      <c r="A879" s="1"/>
      <c r="B879" s="1"/>
      <c r="C879" s="1"/>
      <c r="D879" s="1"/>
      <c r="E879" s="1"/>
      <c r="F879" s="1"/>
    </row>
    <row r="880" ht="13.5" customHeight="1">
      <c r="A880" s="1"/>
      <c r="B880" s="1"/>
      <c r="C880" s="1"/>
      <c r="D880" s="1"/>
      <c r="E880" s="1"/>
      <c r="F880" s="1"/>
    </row>
    <row r="881" ht="13.5" customHeight="1">
      <c r="A881" s="1"/>
      <c r="B881" s="1"/>
      <c r="C881" s="1"/>
      <c r="D881" s="1"/>
      <c r="E881" s="1"/>
      <c r="F881" s="1"/>
    </row>
    <row r="882" ht="13.5" customHeight="1">
      <c r="A882" s="1"/>
      <c r="B882" s="1"/>
      <c r="C882" s="1"/>
      <c r="D882" s="1"/>
      <c r="E882" s="1"/>
      <c r="F882" s="1"/>
    </row>
    <row r="883" ht="13.5" customHeight="1">
      <c r="A883" s="1"/>
      <c r="B883" s="1"/>
      <c r="C883" s="1"/>
      <c r="D883" s="1"/>
      <c r="E883" s="1"/>
      <c r="F883" s="1"/>
    </row>
    <row r="884" ht="13.5" customHeight="1">
      <c r="A884" s="1"/>
      <c r="B884" s="1"/>
      <c r="C884" s="1"/>
      <c r="D884" s="1"/>
      <c r="E884" s="1"/>
      <c r="F884" s="1"/>
    </row>
    <row r="885" ht="13.5" customHeight="1">
      <c r="A885" s="1"/>
      <c r="B885" s="1"/>
      <c r="C885" s="1"/>
      <c r="D885" s="1"/>
      <c r="E885" s="1"/>
      <c r="F885" s="1"/>
    </row>
    <row r="886" ht="13.5" customHeight="1">
      <c r="A886" s="1"/>
      <c r="B886" s="1"/>
      <c r="C886" s="1"/>
      <c r="D886" s="1"/>
      <c r="E886" s="1"/>
      <c r="F886" s="1"/>
    </row>
    <row r="887" ht="13.5" customHeight="1">
      <c r="A887" s="1"/>
      <c r="B887" s="1"/>
      <c r="C887" s="1"/>
      <c r="D887" s="1"/>
      <c r="E887" s="1"/>
      <c r="F887" s="1"/>
    </row>
    <row r="888" ht="13.5" customHeight="1">
      <c r="A888" s="1"/>
      <c r="B888" s="1"/>
      <c r="C888" s="1"/>
      <c r="D888" s="1"/>
      <c r="E888" s="1"/>
      <c r="F888" s="1"/>
    </row>
    <row r="889" ht="13.5" customHeight="1">
      <c r="A889" s="1"/>
      <c r="B889" s="1"/>
      <c r="C889" s="1"/>
      <c r="D889" s="1"/>
      <c r="E889" s="1"/>
      <c r="F889" s="1"/>
    </row>
    <row r="890" ht="13.5" customHeight="1">
      <c r="A890" s="1"/>
      <c r="B890" s="1"/>
      <c r="C890" s="1"/>
      <c r="D890" s="1"/>
      <c r="E890" s="1"/>
      <c r="F890" s="1"/>
    </row>
    <row r="891" ht="13.5" customHeight="1">
      <c r="A891" s="1"/>
      <c r="B891" s="1"/>
      <c r="C891" s="1"/>
      <c r="D891" s="1"/>
      <c r="E891" s="1"/>
      <c r="F891" s="1"/>
    </row>
    <row r="892" ht="13.5" customHeight="1">
      <c r="A892" s="1"/>
      <c r="B892" s="1"/>
      <c r="C892" s="1"/>
      <c r="D892" s="1"/>
      <c r="E892" s="1"/>
      <c r="F892" s="1"/>
    </row>
    <row r="893" ht="13.5" customHeight="1">
      <c r="A893" s="1"/>
      <c r="B893" s="1"/>
      <c r="C893" s="1"/>
      <c r="D893" s="1"/>
      <c r="E893" s="1"/>
      <c r="F893" s="1"/>
    </row>
    <row r="894" ht="13.5" customHeight="1">
      <c r="A894" s="1"/>
      <c r="B894" s="1"/>
      <c r="C894" s="1"/>
      <c r="D894" s="1"/>
      <c r="E894" s="1"/>
      <c r="F894" s="1"/>
    </row>
    <row r="895" ht="13.5" customHeight="1">
      <c r="A895" s="1"/>
      <c r="B895" s="1"/>
      <c r="C895" s="1"/>
      <c r="D895" s="1"/>
      <c r="E895" s="1"/>
      <c r="F895" s="1"/>
    </row>
    <row r="896" ht="13.5" customHeight="1">
      <c r="A896" s="1"/>
      <c r="B896" s="1"/>
      <c r="C896" s="1"/>
      <c r="D896" s="1"/>
      <c r="E896" s="1"/>
      <c r="F896" s="1"/>
    </row>
    <row r="897" ht="13.5" customHeight="1">
      <c r="A897" s="1"/>
      <c r="B897" s="1"/>
      <c r="C897" s="1"/>
      <c r="D897" s="1"/>
      <c r="E897" s="1"/>
      <c r="F897" s="1"/>
    </row>
    <row r="898" ht="13.5" customHeight="1">
      <c r="A898" s="1"/>
      <c r="B898" s="1"/>
      <c r="C898" s="1"/>
      <c r="D898" s="1"/>
      <c r="E898" s="1"/>
      <c r="F898" s="1"/>
    </row>
    <row r="899" ht="13.5" customHeight="1">
      <c r="A899" s="1"/>
      <c r="B899" s="1"/>
      <c r="C899" s="1"/>
      <c r="D899" s="1"/>
      <c r="E899" s="1"/>
      <c r="F899" s="1"/>
    </row>
    <row r="900" ht="13.5" customHeight="1">
      <c r="A900" s="1"/>
      <c r="B900" s="1"/>
      <c r="C900" s="1"/>
      <c r="D900" s="1"/>
      <c r="E900" s="1"/>
      <c r="F900" s="1"/>
    </row>
    <row r="901" ht="13.5" customHeight="1">
      <c r="A901" s="1"/>
      <c r="B901" s="1"/>
      <c r="C901" s="1"/>
      <c r="D901" s="1"/>
      <c r="E901" s="1"/>
      <c r="F901" s="1"/>
    </row>
    <row r="902" ht="13.5" customHeight="1">
      <c r="A902" s="1"/>
      <c r="B902" s="1"/>
      <c r="C902" s="1"/>
      <c r="D902" s="1"/>
      <c r="E902" s="1"/>
      <c r="F902" s="1"/>
    </row>
    <row r="903" ht="13.5" customHeight="1">
      <c r="A903" s="1"/>
      <c r="B903" s="1"/>
      <c r="C903" s="1"/>
      <c r="D903" s="1"/>
      <c r="E903" s="1"/>
      <c r="F903" s="1"/>
    </row>
    <row r="904" ht="13.5" customHeight="1">
      <c r="A904" s="1"/>
      <c r="B904" s="1"/>
      <c r="C904" s="1"/>
      <c r="D904" s="1"/>
      <c r="E904" s="1"/>
      <c r="F904" s="1"/>
    </row>
    <row r="905" ht="13.5" customHeight="1">
      <c r="A905" s="1"/>
      <c r="B905" s="1"/>
      <c r="C905" s="1"/>
      <c r="D905" s="1"/>
      <c r="E905" s="1"/>
      <c r="F905" s="1"/>
    </row>
    <row r="906" ht="13.5" customHeight="1">
      <c r="A906" s="1"/>
      <c r="B906" s="1"/>
      <c r="C906" s="1"/>
      <c r="D906" s="1"/>
      <c r="E906" s="1"/>
      <c r="F906" s="1"/>
    </row>
    <row r="907" ht="13.5" customHeight="1">
      <c r="A907" s="1"/>
      <c r="B907" s="1"/>
      <c r="C907" s="1"/>
      <c r="D907" s="1"/>
      <c r="E907" s="1"/>
      <c r="F907" s="1"/>
    </row>
    <row r="908" ht="13.5" customHeight="1">
      <c r="A908" s="1"/>
      <c r="B908" s="1"/>
      <c r="C908" s="1"/>
      <c r="D908" s="1"/>
      <c r="E908" s="1"/>
      <c r="F908" s="1"/>
    </row>
    <row r="909" ht="13.5" customHeight="1">
      <c r="A909" s="1"/>
      <c r="B909" s="1"/>
      <c r="C909" s="1"/>
      <c r="D909" s="1"/>
      <c r="E909" s="1"/>
      <c r="F909" s="1"/>
    </row>
    <row r="910" ht="13.5" customHeight="1">
      <c r="A910" s="1"/>
      <c r="B910" s="1"/>
      <c r="C910" s="1"/>
      <c r="D910" s="1"/>
      <c r="E910" s="1"/>
      <c r="F910" s="1"/>
    </row>
    <row r="911" ht="13.5" customHeight="1">
      <c r="A911" s="1"/>
      <c r="B911" s="1"/>
      <c r="C911" s="1"/>
      <c r="D911" s="1"/>
      <c r="E911" s="1"/>
      <c r="F911" s="1"/>
    </row>
    <row r="912" ht="13.5" customHeight="1">
      <c r="A912" s="1"/>
      <c r="B912" s="1"/>
      <c r="C912" s="1"/>
      <c r="D912" s="1"/>
      <c r="E912" s="1"/>
      <c r="F912" s="1"/>
    </row>
    <row r="913" ht="13.5" customHeight="1">
      <c r="A913" s="1"/>
      <c r="B913" s="1"/>
      <c r="C913" s="1"/>
      <c r="D913" s="1"/>
      <c r="E913" s="1"/>
      <c r="F913" s="1"/>
    </row>
    <row r="914" ht="13.5" customHeight="1">
      <c r="A914" s="1"/>
      <c r="B914" s="1"/>
      <c r="C914" s="1"/>
      <c r="D914" s="1"/>
      <c r="E914" s="1"/>
      <c r="F914" s="1"/>
    </row>
    <row r="915" ht="13.5" customHeight="1">
      <c r="A915" s="1"/>
      <c r="B915" s="1"/>
      <c r="C915" s="1"/>
      <c r="D915" s="1"/>
      <c r="E915" s="1"/>
      <c r="F915" s="1"/>
    </row>
    <row r="916" ht="13.5" customHeight="1">
      <c r="A916" s="1"/>
      <c r="B916" s="1"/>
      <c r="C916" s="1"/>
      <c r="D916" s="1"/>
      <c r="E916" s="1"/>
      <c r="F916" s="1"/>
    </row>
    <row r="917" ht="13.5" customHeight="1">
      <c r="A917" s="1"/>
      <c r="B917" s="1"/>
      <c r="C917" s="1"/>
      <c r="D917" s="1"/>
      <c r="E917" s="1"/>
      <c r="F917" s="1"/>
    </row>
    <row r="918" ht="13.5" customHeight="1">
      <c r="A918" s="1"/>
      <c r="B918" s="1"/>
      <c r="C918" s="1"/>
      <c r="D918" s="1"/>
      <c r="E918" s="1"/>
      <c r="F918" s="1"/>
    </row>
    <row r="919" ht="13.5" customHeight="1">
      <c r="A919" s="1"/>
      <c r="B919" s="1"/>
      <c r="C919" s="1"/>
      <c r="D919" s="1"/>
      <c r="E919" s="1"/>
      <c r="F919" s="1"/>
    </row>
    <row r="920" ht="13.5" customHeight="1">
      <c r="A920" s="1"/>
      <c r="B920" s="1"/>
      <c r="C920" s="1"/>
      <c r="D920" s="1"/>
      <c r="E920" s="1"/>
      <c r="F920" s="1"/>
    </row>
    <row r="921" ht="13.5" customHeight="1">
      <c r="A921" s="1"/>
      <c r="B921" s="1"/>
      <c r="C921" s="1"/>
      <c r="D921" s="1"/>
      <c r="E921" s="1"/>
      <c r="F921" s="1"/>
    </row>
    <row r="922" ht="13.5" customHeight="1">
      <c r="A922" s="1"/>
      <c r="B922" s="1"/>
      <c r="C922" s="1"/>
      <c r="D922" s="1"/>
      <c r="E922" s="1"/>
      <c r="F922" s="1"/>
    </row>
    <row r="923" ht="13.5" customHeight="1">
      <c r="A923" s="1"/>
      <c r="B923" s="1"/>
      <c r="C923" s="1"/>
      <c r="D923" s="1"/>
      <c r="E923" s="1"/>
      <c r="F923" s="1"/>
    </row>
    <row r="924" ht="13.5" customHeight="1">
      <c r="A924" s="1"/>
      <c r="B924" s="1"/>
      <c r="C924" s="1"/>
      <c r="D924" s="1"/>
      <c r="E924" s="1"/>
      <c r="F924" s="1"/>
    </row>
    <row r="925" ht="13.5" customHeight="1">
      <c r="A925" s="1"/>
      <c r="B925" s="1"/>
      <c r="C925" s="1"/>
      <c r="D925" s="1"/>
      <c r="E925" s="1"/>
      <c r="F925" s="1"/>
    </row>
    <row r="926" ht="13.5" customHeight="1">
      <c r="A926" s="1"/>
      <c r="B926" s="1"/>
      <c r="C926" s="1"/>
      <c r="D926" s="1"/>
      <c r="E926" s="1"/>
      <c r="F926" s="1"/>
    </row>
    <row r="927" ht="13.5" customHeight="1">
      <c r="A927" s="1"/>
      <c r="B927" s="1"/>
      <c r="C927" s="1"/>
      <c r="D927" s="1"/>
      <c r="E927" s="1"/>
      <c r="F927" s="1"/>
    </row>
    <row r="928" ht="13.5" customHeight="1">
      <c r="A928" s="1"/>
      <c r="B928" s="1"/>
      <c r="C928" s="1"/>
      <c r="D928" s="1"/>
      <c r="E928" s="1"/>
      <c r="F928" s="1"/>
    </row>
    <row r="929" ht="13.5" customHeight="1">
      <c r="A929" s="1"/>
      <c r="B929" s="1"/>
      <c r="C929" s="1"/>
      <c r="D929" s="1"/>
      <c r="E929" s="1"/>
      <c r="F929" s="1"/>
    </row>
    <row r="930" ht="13.5" customHeight="1">
      <c r="A930" s="1"/>
      <c r="B930" s="1"/>
      <c r="C930" s="1"/>
      <c r="D930" s="1"/>
      <c r="E930" s="1"/>
      <c r="F930" s="1"/>
    </row>
    <row r="931" ht="13.5" customHeight="1">
      <c r="A931" s="1"/>
      <c r="B931" s="1"/>
      <c r="C931" s="1"/>
      <c r="D931" s="1"/>
      <c r="E931" s="1"/>
      <c r="F931" s="1"/>
    </row>
    <row r="932" ht="13.5" customHeight="1">
      <c r="A932" s="1"/>
      <c r="B932" s="1"/>
      <c r="C932" s="1"/>
      <c r="D932" s="1"/>
      <c r="E932" s="1"/>
      <c r="F932" s="1"/>
    </row>
    <row r="933" ht="13.5" customHeight="1">
      <c r="A933" s="1"/>
      <c r="B933" s="1"/>
      <c r="C933" s="1"/>
      <c r="D933" s="1"/>
      <c r="E933" s="1"/>
      <c r="F933" s="1"/>
    </row>
    <row r="934" ht="13.5" customHeight="1">
      <c r="A934" s="1"/>
      <c r="B934" s="1"/>
      <c r="C934" s="1"/>
      <c r="D934" s="1"/>
      <c r="E934" s="1"/>
      <c r="F934" s="1"/>
    </row>
    <row r="935" ht="13.5" customHeight="1">
      <c r="A935" s="1"/>
      <c r="B935" s="1"/>
      <c r="C935" s="1"/>
      <c r="D935" s="1"/>
      <c r="E935" s="1"/>
      <c r="F935" s="1"/>
    </row>
    <row r="936" ht="13.5" customHeight="1">
      <c r="A936" s="1"/>
      <c r="B936" s="1"/>
      <c r="C936" s="1"/>
      <c r="D936" s="1"/>
      <c r="E936" s="1"/>
      <c r="F936" s="1"/>
    </row>
    <row r="937" ht="13.5" customHeight="1">
      <c r="A937" s="1"/>
      <c r="B937" s="1"/>
      <c r="C937" s="1"/>
      <c r="D937" s="1"/>
      <c r="E937" s="1"/>
      <c r="F937" s="1"/>
    </row>
    <row r="938" ht="13.5" customHeight="1">
      <c r="A938" s="1"/>
      <c r="B938" s="1"/>
      <c r="C938" s="1"/>
      <c r="D938" s="1"/>
      <c r="E938" s="1"/>
      <c r="F938" s="1"/>
    </row>
    <row r="939" ht="13.5" customHeight="1">
      <c r="A939" s="1"/>
      <c r="B939" s="1"/>
      <c r="C939" s="1"/>
      <c r="D939" s="1"/>
      <c r="E939" s="1"/>
      <c r="F939" s="1"/>
    </row>
    <row r="940" ht="13.5" customHeight="1">
      <c r="A940" s="1"/>
      <c r="B940" s="1"/>
      <c r="C940" s="1"/>
      <c r="D940" s="1"/>
      <c r="E940" s="1"/>
      <c r="F940" s="1"/>
    </row>
    <row r="941" ht="13.5" customHeight="1">
      <c r="A941" s="1"/>
      <c r="B941" s="1"/>
      <c r="C941" s="1"/>
      <c r="D941" s="1"/>
      <c r="E941" s="1"/>
      <c r="F941" s="1"/>
    </row>
    <row r="942" ht="13.5" customHeight="1">
      <c r="A942" s="1"/>
      <c r="B942" s="1"/>
      <c r="C942" s="1"/>
      <c r="D942" s="1"/>
      <c r="E942" s="1"/>
      <c r="F942" s="1"/>
    </row>
    <row r="943" ht="13.5" customHeight="1">
      <c r="A943" s="1"/>
      <c r="B943" s="1"/>
      <c r="C943" s="1"/>
      <c r="D943" s="1"/>
      <c r="E943" s="1"/>
      <c r="F943" s="1"/>
    </row>
    <row r="944" ht="13.5" customHeight="1">
      <c r="A944" s="1"/>
      <c r="B944" s="1"/>
      <c r="C944" s="1"/>
      <c r="D944" s="1"/>
      <c r="E944" s="1"/>
      <c r="F944" s="1"/>
    </row>
    <row r="945" ht="13.5" customHeight="1">
      <c r="A945" s="1"/>
      <c r="B945" s="1"/>
      <c r="C945" s="1"/>
      <c r="D945" s="1"/>
      <c r="E945" s="1"/>
      <c r="F945" s="1"/>
    </row>
    <row r="946" ht="13.5" customHeight="1">
      <c r="A946" s="1"/>
      <c r="B946" s="1"/>
      <c r="C946" s="1"/>
      <c r="D946" s="1"/>
      <c r="E946" s="1"/>
      <c r="F946" s="1"/>
    </row>
    <row r="947" ht="13.5" customHeight="1">
      <c r="A947" s="1"/>
      <c r="B947" s="1"/>
      <c r="C947" s="1"/>
      <c r="D947" s="1"/>
      <c r="E947" s="1"/>
      <c r="F947" s="1"/>
    </row>
    <row r="948" ht="13.5" customHeight="1">
      <c r="A948" s="1"/>
      <c r="B948" s="1"/>
      <c r="C948" s="1"/>
      <c r="D948" s="1"/>
      <c r="E948" s="1"/>
      <c r="F948" s="1"/>
    </row>
    <row r="949" ht="13.5" customHeight="1">
      <c r="A949" s="1"/>
      <c r="B949" s="1"/>
      <c r="C949" s="1"/>
      <c r="D949" s="1"/>
      <c r="E949" s="1"/>
      <c r="F949" s="1"/>
    </row>
    <row r="950" ht="13.5" customHeight="1">
      <c r="A950" s="1"/>
      <c r="B950" s="1"/>
      <c r="C950" s="1"/>
      <c r="D950" s="1"/>
      <c r="E950" s="1"/>
      <c r="F950" s="1"/>
    </row>
    <row r="951" ht="13.5" customHeight="1">
      <c r="A951" s="1"/>
      <c r="B951" s="1"/>
      <c r="C951" s="1"/>
      <c r="D951" s="1"/>
      <c r="E951" s="1"/>
      <c r="F951" s="1"/>
    </row>
    <row r="952" ht="13.5" customHeight="1">
      <c r="A952" s="1"/>
      <c r="B952" s="1"/>
      <c r="C952" s="1"/>
      <c r="D952" s="1"/>
      <c r="E952" s="1"/>
      <c r="F952" s="1"/>
    </row>
    <row r="953" ht="13.5" customHeight="1">
      <c r="A953" s="1"/>
      <c r="B953" s="1"/>
      <c r="C953" s="1"/>
      <c r="D953" s="1"/>
      <c r="E953" s="1"/>
      <c r="F953" s="1"/>
    </row>
    <row r="954" ht="13.5" customHeight="1">
      <c r="A954" s="1"/>
      <c r="B954" s="1"/>
      <c r="C954" s="1"/>
      <c r="D954" s="1"/>
      <c r="E954" s="1"/>
      <c r="F954" s="1"/>
    </row>
    <row r="955" ht="13.5" customHeight="1">
      <c r="A955" s="1"/>
      <c r="B955" s="1"/>
      <c r="C955" s="1"/>
      <c r="D955" s="1"/>
      <c r="E955" s="1"/>
      <c r="F955" s="1"/>
    </row>
    <row r="956" ht="13.5" customHeight="1">
      <c r="A956" s="1"/>
      <c r="B956" s="1"/>
      <c r="C956" s="1"/>
      <c r="D956" s="1"/>
      <c r="E956" s="1"/>
      <c r="F956" s="1"/>
    </row>
    <row r="957" ht="13.5" customHeight="1">
      <c r="A957" s="1"/>
      <c r="B957" s="1"/>
      <c r="C957" s="1"/>
      <c r="D957" s="1"/>
      <c r="E957" s="1"/>
      <c r="F957" s="1"/>
    </row>
    <row r="958" ht="13.5" customHeight="1">
      <c r="A958" s="1"/>
      <c r="B958" s="1"/>
      <c r="C958" s="1"/>
      <c r="D958" s="1"/>
      <c r="E958" s="1"/>
      <c r="F958" s="1"/>
    </row>
    <row r="959" ht="13.5" customHeight="1">
      <c r="A959" s="1"/>
      <c r="B959" s="1"/>
      <c r="C959" s="1"/>
      <c r="D959" s="1"/>
      <c r="E959" s="1"/>
      <c r="F959" s="1"/>
    </row>
    <row r="960" ht="13.5" customHeight="1">
      <c r="A960" s="1"/>
      <c r="B960" s="1"/>
      <c r="C960" s="1"/>
      <c r="D960" s="1"/>
      <c r="E960" s="1"/>
      <c r="F960" s="1"/>
    </row>
    <row r="961" ht="13.5" customHeight="1">
      <c r="A961" s="1"/>
      <c r="B961" s="1"/>
      <c r="C961" s="1"/>
      <c r="D961" s="1"/>
      <c r="E961" s="1"/>
      <c r="F961" s="1"/>
    </row>
    <row r="962" ht="13.5" customHeight="1">
      <c r="A962" s="1"/>
      <c r="B962" s="1"/>
      <c r="C962" s="1"/>
      <c r="D962" s="1"/>
      <c r="E962" s="1"/>
      <c r="F962" s="1"/>
    </row>
    <row r="963" ht="13.5" customHeight="1">
      <c r="A963" s="1"/>
      <c r="B963" s="1"/>
      <c r="C963" s="1"/>
      <c r="D963" s="1"/>
      <c r="E963" s="1"/>
      <c r="F963" s="1"/>
    </row>
    <row r="964" ht="13.5" customHeight="1">
      <c r="A964" s="1"/>
      <c r="B964" s="1"/>
      <c r="C964" s="1"/>
      <c r="D964" s="1"/>
      <c r="E964" s="1"/>
      <c r="F964" s="1"/>
    </row>
    <row r="965" ht="13.5" customHeight="1">
      <c r="A965" s="1"/>
      <c r="B965" s="1"/>
      <c r="C965" s="1"/>
      <c r="D965" s="1"/>
      <c r="E965" s="1"/>
      <c r="F965" s="1"/>
    </row>
    <row r="966" ht="13.5" customHeight="1">
      <c r="A966" s="1"/>
      <c r="B966" s="1"/>
      <c r="C966" s="1"/>
      <c r="D966" s="1"/>
      <c r="E966" s="1"/>
      <c r="F966" s="1"/>
    </row>
    <row r="967" ht="13.5" customHeight="1">
      <c r="A967" s="1"/>
      <c r="B967" s="1"/>
      <c r="C967" s="1"/>
      <c r="D967" s="1"/>
      <c r="E967" s="1"/>
      <c r="F967" s="1"/>
    </row>
    <row r="968" ht="13.5" customHeight="1">
      <c r="A968" s="1"/>
      <c r="B968" s="1"/>
      <c r="C968" s="1"/>
      <c r="D968" s="1"/>
      <c r="E968" s="1"/>
      <c r="F968" s="1"/>
    </row>
    <row r="969" ht="13.5" customHeight="1">
      <c r="A969" s="1"/>
      <c r="B969" s="1"/>
      <c r="C969" s="1"/>
      <c r="D969" s="1"/>
      <c r="E969" s="1"/>
      <c r="F969" s="1"/>
    </row>
    <row r="970" ht="13.5" customHeight="1">
      <c r="A970" s="1"/>
      <c r="B970" s="1"/>
      <c r="C970" s="1"/>
      <c r="D970" s="1"/>
      <c r="E970" s="1"/>
      <c r="F970" s="1"/>
    </row>
    <row r="971" ht="13.5" customHeight="1">
      <c r="A971" s="1"/>
      <c r="B971" s="1"/>
      <c r="C971" s="1"/>
      <c r="D971" s="1"/>
      <c r="E971" s="1"/>
      <c r="F971" s="1"/>
    </row>
    <row r="972" ht="13.5" customHeight="1">
      <c r="A972" s="1"/>
      <c r="B972" s="1"/>
      <c r="C972" s="1"/>
      <c r="D972" s="1"/>
      <c r="E972" s="1"/>
      <c r="F972" s="1"/>
    </row>
    <row r="973" ht="13.5" customHeight="1">
      <c r="A973" s="1"/>
      <c r="B973" s="1"/>
      <c r="C973" s="1"/>
      <c r="D973" s="1"/>
      <c r="E973" s="1"/>
      <c r="F973" s="1"/>
    </row>
    <row r="974" ht="13.5" customHeight="1">
      <c r="A974" s="1"/>
      <c r="B974" s="1"/>
      <c r="C974" s="1"/>
      <c r="D974" s="1"/>
      <c r="E974" s="1"/>
      <c r="F974" s="1"/>
    </row>
    <row r="975" ht="13.5" customHeight="1">
      <c r="A975" s="1"/>
      <c r="B975" s="1"/>
      <c r="C975" s="1"/>
      <c r="D975" s="1"/>
      <c r="E975" s="1"/>
      <c r="F975" s="1"/>
    </row>
    <row r="976" ht="13.5" customHeight="1">
      <c r="A976" s="1"/>
      <c r="B976" s="1"/>
      <c r="C976" s="1"/>
      <c r="D976" s="1"/>
      <c r="E976" s="1"/>
      <c r="F976" s="1"/>
    </row>
    <row r="977" ht="13.5" customHeight="1">
      <c r="A977" s="1"/>
      <c r="B977" s="1"/>
      <c r="C977" s="1"/>
      <c r="D977" s="1"/>
      <c r="E977" s="1"/>
      <c r="F977" s="1"/>
    </row>
    <row r="978" ht="13.5" customHeight="1">
      <c r="A978" s="1"/>
      <c r="B978" s="1"/>
      <c r="C978" s="1"/>
      <c r="D978" s="1"/>
      <c r="E978" s="1"/>
      <c r="F978" s="1"/>
    </row>
    <row r="979" ht="13.5" customHeight="1">
      <c r="A979" s="1"/>
      <c r="B979" s="1"/>
      <c r="C979" s="1"/>
      <c r="D979" s="1"/>
      <c r="E979" s="1"/>
      <c r="F979" s="1"/>
    </row>
    <row r="980" ht="13.5" customHeight="1">
      <c r="A980" s="1"/>
      <c r="B980" s="1"/>
      <c r="C980" s="1"/>
      <c r="D980" s="1"/>
      <c r="E980" s="1"/>
      <c r="F980" s="1"/>
    </row>
    <row r="981" ht="13.5" customHeight="1">
      <c r="A981" s="1"/>
      <c r="B981" s="1"/>
      <c r="C981" s="1"/>
      <c r="D981" s="1"/>
      <c r="E981" s="1"/>
      <c r="F981" s="1"/>
    </row>
    <row r="982" ht="13.5" customHeight="1">
      <c r="A982" s="1"/>
      <c r="B982" s="1"/>
      <c r="C982" s="1"/>
      <c r="D982" s="1"/>
      <c r="E982" s="1"/>
      <c r="F982" s="1"/>
    </row>
    <row r="983" ht="13.5" customHeight="1">
      <c r="A983" s="1"/>
      <c r="B983" s="1"/>
      <c r="C983" s="1"/>
      <c r="D983" s="1"/>
      <c r="E983" s="1"/>
      <c r="F983" s="1"/>
    </row>
    <row r="984" ht="13.5" customHeight="1">
      <c r="A984" s="1"/>
      <c r="B984" s="1"/>
      <c r="C984" s="1"/>
      <c r="D984" s="1"/>
      <c r="E984" s="1"/>
      <c r="F984" s="1"/>
    </row>
    <row r="985" ht="13.5" customHeight="1">
      <c r="A985" s="1"/>
      <c r="B985" s="1"/>
      <c r="C985" s="1"/>
      <c r="D985" s="1"/>
      <c r="E985" s="1"/>
      <c r="F985" s="1"/>
    </row>
    <row r="986" ht="13.5" customHeight="1">
      <c r="A986" s="1"/>
      <c r="B986" s="1"/>
      <c r="C986" s="1"/>
      <c r="D986" s="1"/>
      <c r="E986" s="1"/>
      <c r="F986" s="1"/>
    </row>
    <row r="987" ht="13.5" customHeight="1">
      <c r="A987" s="1"/>
      <c r="B987" s="1"/>
      <c r="C987" s="1"/>
      <c r="D987" s="1"/>
      <c r="E987" s="1"/>
      <c r="F987" s="1"/>
    </row>
    <row r="988" ht="13.5" customHeight="1">
      <c r="A988" s="1"/>
      <c r="B988" s="1"/>
      <c r="C988" s="1"/>
      <c r="D988" s="1"/>
      <c r="E988" s="1"/>
      <c r="F988" s="1"/>
    </row>
    <row r="989" ht="13.5" customHeight="1">
      <c r="A989" s="1"/>
      <c r="B989" s="1"/>
      <c r="C989" s="1"/>
      <c r="D989" s="1"/>
      <c r="E989" s="1"/>
      <c r="F989" s="1"/>
    </row>
    <row r="990" ht="13.5" customHeight="1">
      <c r="A990" s="1"/>
      <c r="B990" s="1"/>
      <c r="C990" s="1"/>
      <c r="D990" s="1"/>
      <c r="E990" s="1"/>
      <c r="F990" s="1"/>
    </row>
    <row r="991" ht="13.5" customHeight="1">
      <c r="A991" s="1"/>
      <c r="B991" s="1"/>
      <c r="C991" s="1"/>
      <c r="D991" s="1"/>
      <c r="E991" s="1"/>
      <c r="F991" s="1"/>
    </row>
    <row r="992" ht="13.5" customHeight="1">
      <c r="A992" s="1"/>
      <c r="B992" s="1"/>
      <c r="C992" s="1"/>
      <c r="D992" s="1"/>
      <c r="E992" s="1"/>
      <c r="F992" s="1"/>
    </row>
    <row r="993" ht="13.5" customHeight="1">
      <c r="A993" s="1"/>
      <c r="B993" s="1"/>
      <c r="C993" s="1"/>
      <c r="D993" s="1"/>
      <c r="E993" s="1"/>
      <c r="F993" s="1"/>
    </row>
    <row r="994" ht="13.5" customHeight="1">
      <c r="A994" s="1"/>
      <c r="B994" s="1"/>
      <c r="C994" s="1"/>
      <c r="D994" s="1"/>
      <c r="E994" s="1"/>
      <c r="F994" s="1"/>
    </row>
    <row r="995" ht="13.5" customHeight="1">
      <c r="A995" s="1"/>
      <c r="B995" s="1"/>
      <c r="C995" s="1"/>
      <c r="D995" s="1"/>
      <c r="E995" s="1"/>
      <c r="F995" s="1"/>
    </row>
    <row r="996" ht="13.5" customHeight="1">
      <c r="A996" s="1"/>
      <c r="B996" s="1"/>
      <c r="C996" s="1"/>
      <c r="D996" s="1"/>
      <c r="E996" s="1"/>
      <c r="F996" s="1"/>
    </row>
    <row r="997" ht="13.5" customHeight="1">
      <c r="A997" s="1"/>
      <c r="B997" s="1"/>
      <c r="C997" s="1"/>
      <c r="D997" s="1"/>
      <c r="E997" s="1"/>
      <c r="F997" s="1"/>
    </row>
    <row r="998" ht="13.5" customHeight="1">
      <c r="A998" s="1"/>
      <c r="B998" s="1"/>
      <c r="C998" s="1"/>
      <c r="D998" s="1"/>
      <c r="E998" s="1"/>
      <c r="F998" s="1"/>
    </row>
    <row r="999" ht="13.5" customHeight="1">
      <c r="A999" s="1"/>
      <c r="B999" s="1"/>
      <c r="C999" s="1"/>
      <c r="D999" s="1"/>
      <c r="E999" s="1"/>
      <c r="F999" s="1"/>
    </row>
    <row r="1000" ht="13.5" customHeight="1">
      <c r="A1000" s="1"/>
      <c r="B1000" s="1"/>
      <c r="C1000" s="1"/>
      <c r="D1000" s="1"/>
      <c r="E1000" s="1"/>
      <c r="F1000" s="1"/>
    </row>
  </sheetData>
  <mergeCells count="3">
    <mergeCell ref="B2:C2"/>
    <mergeCell ref="C3:F4"/>
    <mergeCell ref="B5:C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34.29"/>
    <col customWidth="1" min="3" max="3" width="32.71"/>
    <col customWidth="1" min="4" max="4" width="40.43"/>
    <col customWidth="1" min="5" max="26" width="8.71"/>
  </cols>
  <sheetData>
    <row r="1" ht="13.5" customHeight="1">
      <c r="A1" s="1"/>
      <c r="B1" s="1"/>
      <c r="C1" s="1"/>
      <c r="D1" s="1"/>
    </row>
    <row r="2" ht="13.5" customHeight="1">
      <c r="A2" s="1"/>
      <c r="B2" s="1"/>
      <c r="C2" s="1"/>
      <c r="D2" s="1"/>
    </row>
    <row r="3" ht="13.5" customHeight="1">
      <c r="A3" s="7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</row>
    <row r="5" ht="13.5" customHeight="1">
      <c r="A5" s="4" t="s">
        <v>5</v>
      </c>
      <c r="B5" s="4" t="s">
        <v>6</v>
      </c>
      <c r="C5" s="4" t="s">
        <v>7</v>
      </c>
      <c r="D5" s="4" t="s">
        <v>8</v>
      </c>
    </row>
    <row r="6" ht="63.0" customHeight="1">
      <c r="A6" s="8" t="s">
        <v>26</v>
      </c>
      <c r="B6" s="8" t="s">
        <v>27</v>
      </c>
      <c r="C6" s="8" t="s">
        <v>28</v>
      </c>
      <c r="D6" s="9" t="s">
        <v>29</v>
      </c>
      <c r="E6" s="1"/>
      <c r="F6" s="1" t="s">
        <v>30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6.5" customHeight="1">
      <c r="A7" s="8" t="s">
        <v>31</v>
      </c>
      <c r="B7" s="8" t="s">
        <v>32</v>
      </c>
      <c r="C7" s="8" t="s">
        <v>33</v>
      </c>
      <c r="D7" s="5" t="s">
        <v>34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2.5" customHeight="1">
      <c r="A8" s="10" t="s">
        <v>35</v>
      </c>
      <c r="B8" s="10" t="s">
        <v>36</v>
      </c>
      <c r="C8" s="10" t="s">
        <v>37</v>
      </c>
      <c r="D8" s="11" t="s">
        <v>38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1.5" customHeight="1">
      <c r="A9" s="10" t="s">
        <v>39</v>
      </c>
      <c r="B9" s="10" t="s">
        <v>40</v>
      </c>
      <c r="C9" s="10" t="s">
        <v>41</v>
      </c>
      <c r="D9" s="11" t="s">
        <v>42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2.5" customHeight="1">
      <c r="A10" s="12" t="s">
        <v>43</v>
      </c>
      <c r="B10" s="12" t="s">
        <v>44</v>
      </c>
      <c r="C10" s="12" t="s">
        <v>45</v>
      </c>
      <c r="D10" s="13" t="s">
        <v>46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10" t="s">
        <v>47</v>
      </c>
      <c r="B11" s="10" t="s">
        <v>48</v>
      </c>
      <c r="C11" s="10" t="s">
        <v>49</v>
      </c>
      <c r="D11" s="14" t="s">
        <v>50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</row>
    <row r="13" ht="13.5" customHeight="1">
      <c r="A13" s="1"/>
      <c r="B13" s="1"/>
      <c r="C13" s="1"/>
      <c r="D13" s="1"/>
    </row>
    <row r="14" ht="13.5" customHeight="1">
      <c r="A14" s="1"/>
      <c r="B14" s="1"/>
      <c r="C14" s="1"/>
      <c r="D14" s="1"/>
    </row>
    <row r="15" ht="13.5" customHeight="1">
      <c r="A15" s="1"/>
      <c r="B15" s="1"/>
      <c r="C15" s="1"/>
      <c r="D15" s="1"/>
    </row>
    <row r="16" ht="13.5" customHeight="1">
      <c r="A16" s="1"/>
      <c r="B16" s="1"/>
      <c r="C16" s="1"/>
      <c r="D16" s="1"/>
    </row>
    <row r="17" ht="13.5" customHeight="1">
      <c r="A17" s="1"/>
      <c r="B17" s="1"/>
      <c r="C17" s="1"/>
      <c r="D17" s="1"/>
    </row>
    <row r="18" ht="13.5" customHeight="1">
      <c r="A18" s="1"/>
      <c r="B18" s="1"/>
      <c r="C18" s="1"/>
      <c r="D18" s="1"/>
    </row>
    <row r="19" ht="13.5" customHeight="1">
      <c r="A19" s="1"/>
      <c r="B19" s="1"/>
      <c r="C19" s="1"/>
      <c r="D19" s="1"/>
    </row>
    <row r="20" ht="13.5" customHeight="1">
      <c r="A20" s="1"/>
      <c r="B20" s="1"/>
      <c r="C20" s="1"/>
      <c r="D20" s="1"/>
    </row>
    <row r="21" ht="13.5" customHeight="1">
      <c r="A21" s="1"/>
      <c r="B21" s="1"/>
      <c r="C21" s="1"/>
      <c r="D21" s="1"/>
    </row>
    <row r="22" ht="13.5" customHeight="1">
      <c r="A22" s="1"/>
      <c r="B22" s="1"/>
      <c r="C22" s="1"/>
      <c r="D22" s="1"/>
    </row>
    <row r="23" ht="13.5" customHeight="1">
      <c r="A23" s="1"/>
      <c r="B23" s="1"/>
      <c r="C23" s="1"/>
      <c r="D23" s="1"/>
    </row>
    <row r="24" ht="13.5" customHeight="1">
      <c r="A24" s="1"/>
      <c r="B24" s="1"/>
      <c r="C24" s="1"/>
      <c r="D24" s="1"/>
    </row>
    <row r="25" ht="13.5" customHeight="1">
      <c r="A25" s="1"/>
      <c r="B25" s="1"/>
      <c r="C25" s="1"/>
      <c r="D25" s="1"/>
    </row>
    <row r="26" ht="13.5" customHeight="1">
      <c r="A26" s="1"/>
      <c r="B26" s="1"/>
      <c r="C26" s="1"/>
      <c r="D26" s="1"/>
    </row>
    <row r="27" ht="13.5" customHeight="1">
      <c r="A27" s="1"/>
      <c r="B27" s="1"/>
      <c r="C27" s="1"/>
      <c r="D27" s="1"/>
    </row>
    <row r="28" ht="13.5" customHeight="1">
      <c r="A28" s="1"/>
      <c r="B28" s="1"/>
      <c r="C28" s="1"/>
      <c r="D28" s="1"/>
    </row>
    <row r="29" ht="13.5" customHeight="1">
      <c r="A29" s="1"/>
      <c r="B29" s="1"/>
      <c r="C29" s="1"/>
      <c r="D29" s="1"/>
    </row>
    <row r="30" ht="13.5" customHeight="1">
      <c r="A30" s="1"/>
      <c r="B30" s="1"/>
      <c r="C30" s="1"/>
      <c r="D30" s="1"/>
    </row>
    <row r="31" ht="13.5" customHeight="1">
      <c r="A31" s="1"/>
      <c r="B31" s="1"/>
      <c r="C31" s="1"/>
      <c r="D31" s="1"/>
    </row>
    <row r="32" ht="13.5" customHeight="1">
      <c r="A32" s="1"/>
      <c r="B32" s="1"/>
      <c r="C32" s="1"/>
      <c r="D32" s="1"/>
    </row>
    <row r="33" ht="13.5" customHeight="1">
      <c r="A33" s="1"/>
      <c r="B33" s="1"/>
      <c r="C33" s="1"/>
      <c r="D33" s="1"/>
    </row>
    <row r="34" ht="13.5" customHeight="1">
      <c r="A34" s="1"/>
      <c r="B34" s="1"/>
      <c r="C34" s="1"/>
      <c r="D34" s="1"/>
    </row>
    <row r="35" ht="13.5" customHeight="1">
      <c r="A35" s="1"/>
      <c r="B35" s="1"/>
      <c r="C35" s="1"/>
      <c r="D35" s="1"/>
    </row>
    <row r="36" ht="13.5" customHeight="1">
      <c r="A36" s="1"/>
      <c r="B36" s="1"/>
      <c r="C36" s="1"/>
      <c r="D36" s="1"/>
    </row>
    <row r="37" ht="13.5" customHeight="1">
      <c r="A37" s="1"/>
      <c r="B37" s="1"/>
      <c r="C37" s="1"/>
      <c r="D37" s="1"/>
    </row>
    <row r="38" ht="13.5" customHeight="1">
      <c r="A38" s="1"/>
      <c r="B38" s="1"/>
      <c r="C38" s="1"/>
      <c r="D38" s="1"/>
    </row>
    <row r="39" ht="13.5" customHeight="1">
      <c r="A39" s="1"/>
      <c r="B39" s="1"/>
      <c r="C39" s="1"/>
      <c r="D39" s="1"/>
    </row>
    <row r="40" ht="13.5" customHeight="1">
      <c r="A40" s="1"/>
      <c r="B40" s="1"/>
      <c r="C40" s="1"/>
      <c r="D40" s="1"/>
    </row>
    <row r="41" ht="13.5" customHeight="1">
      <c r="A41" s="1"/>
      <c r="B41" s="1"/>
      <c r="C41" s="1"/>
      <c r="D41" s="1"/>
    </row>
    <row r="42" ht="13.5" customHeight="1">
      <c r="A42" s="1"/>
      <c r="B42" s="1"/>
      <c r="C42" s="1"/>
      <c r="D42" s="1"/>
    </row>
    <row r="43" ht="13.5" customHeight="1">
      <c r="A43" s="1"/>
      <c r="B43" s="1"/>
      <c r="C43" s="1"/>
      <c r="D43" s="1"/>
    </row>
    <row r="44" ht="13.5" customHeight="1">
      <c r="A44" s="1"/>
      <c r="B44" s="1"/>
      <c r="C44" s="1"/>
      <c r="D44" s="1"/>
    </row>
    <row r="45" ht="13.5" customHeight="1">
      <c r="A45" s="1"/>
      <c r="B45" s="1"/>
      <c r="C45" s="1"/>
      <c r="D45" s="1"/>
    </row>
    <row r="46" ht="13.5" customHeight="1">
      <c r="A46" s="1"/>
      <c r="B46" s="1"/>
      <c r="C46" s="1"/>
      <c r="D46" s="1"/>
    </row>
    <row r="47" ht="13.5" customHeight="1">
      <c r="A47" s="1"/>
      <c r="B47" s="1"/>
      <c r="C47" s="1"/>
      <c r="D47" s="1"/>
    </row>
    <row r="48" ht="13.5" customHeight="1">
      <c r="A48" s="1"/>
      <c r="B48" s="1"/>
      <c r="C48" s="1"/>
      <c r="D48" s="1"/>
    </row>
    <row r="49" ht="13.5" customHeight="1">
      <c r="A49" s="1"/>
      <c r="B49" s="1"/>
      <c r="C49" s="1"/>
      <c r="D49" s="1"/>
    </row>
    <row r="50" ht="13.5" customHeight="1">
      <c r="A50" s="1"/>
      <c r="B50" s="1"/>
      <c r="C50" s="1"/>
      <c r="D50" s="1"/>
    </row>
    <row r="51" ht="13.5" customHeight="1">
      <c r="A51" s="1"/>
      <c r="B51" s="1"/>
      <c r="C51" s="1"/>
      <c r="D51" s="1"/>
    </row>
    <row r="52" ht="13.5" customHeight="1">
      <c r="A52" s="1"/>
      <c r="B52" s="1"/>
      <c r="C52" s="1"/>
      <c r="D52" s="1"/>
    </row>
    <row r="53" ht="13.5" customHeight="1">
      <c r="A53" s="1"/>
      <c r="B53" s="1"/>
      <c r="C53" s="1"/>
      <c r="D53" s="1"/>
    </row>
    <row r="54" ht="13.5" customHeight="1">
      <c r="A54" s="1"/>
      <c r="B54" s="1"/>
      <c r="C54" s="1"/>
      <c r="D54" s="1"/>
    </row>
    <row r="55" ht="13.5" customHeight="1">
      <c r="A55" s="1"/>
      <c r="B55" s="1"/>
      <c r="C55" s="1"/>
      <c r="D55" s="1"/>
    </row>
    <row r="56" ht="13.5" customHeight="1">
      <c r="A56" s="1"/>
      <c r="B56" s="1"/>
      <c r="C56" s="1"/>
      <c r="D56" s="1"/>
    </row>
    <row r="57" ht="13.5" customHeight="1">
      <c r="A57" s="1"/>
      <c r="B57" s="1"/>
      <c r="C57" s="1"/>
      <c r="D57" s="1"/>
    </row>
    <row r="58" ht="13.5" customHeight="1">
      <c r="A58" s="1"/>
      <c r="B58" s="1"/>
      <c r="C58" s="1"/>
      <c r="D58" s="1"/>
    </row>
    <row r="59" ht="13.5" customHeight="1">
      <c r="A59" s="1"/>
      <c r="B59" s="1"/>
      <c r="C59" s="1"/>
      <c r="D59" s="1"/>
    </row>
    <row r="60" ht="13.5" customHeight="1">
      <c r="A60" s="1"/>
      <c r="B60" s="1"/>
      <c r="C60" s="1"/>
      <c r="D60" s="1"/>
    </row>
    <row r="61" ht="13.5" customHeight="1">
      <c r="A61" s="1"/>
      <c r="B61" s="1"/>
      <c r="C61" s="1"/>
      <c r="D61" s="1"/>
    </row>
    <row r="62" ht="13.5" customHeight="1">
      <c r="A62" s="1"/>
      <c r="B62" s="1"/>
      <c r="C62" s="1"/>
      <c r="D62" s="1"/>
    </row>
    <row r="63" ht="13.5" customHeight="1">
      <c r="A63" s="1"/>
      <c r="B63" s="1"/>
      <c r="C63" s="1"/>
      <c r="D63" s="1"/>
    </row>
    <row r="64" ht="13.5" customHeight="1">
      <c r="A64" s="1"/>
      <c r="B64" s="1"/>
      <c r="C64" s="1"/>
      <c r="D64" s="1"/>
    </row>
    <row r="65" ht="13.5" customHeight="1">
      <c r="A65" s="1"/>
      <c r="B65" s="1"/>
      <c r="C65" s="1"/>
      <c r="D65" s="1"/>
    </row>
    <row r="66" ht="13.5" customHeight="1">
      <c r="A66" s="1"/>
      <c r="B66" s="1"/>
      <c r="C66" s="1"/>
      <c r="D66" s="1"/>
    </row>
    <row r="67" ht="13.5" customHeight="1">
      <c r="A67" s="1"/>
      <c r="B67" s="1"/>
      <c r="C67" s="1"/>
      <c r="D67" s="1"/>
    </row>
    <row r="68" ht="13.5" customHeight="1">
      <c r="A68" s="1"/>
      <c r="B68" s="1"/>
      <c r="C68" s="1"/>
      <c r="D68" s="1"/>
    </row>
    <row r="69" ht="13.5" customHeight="1">
      <c r="A69" s="1"/>
      <c r="B69" s="1"/>
      <c r="C69" s="1"/>
      <c r="D69" s="1"/>
    </row>
    <row r="70" ht="13.5" customHeight="1">
      <c r="A70" s="1"/>
      <c r="B70" s="1"/>
      <c r="C70" s="1"/>
      <c r="D70" s="1"/>
    </row>
    <row r="71" ht="13.5" customHeight="1">
      <c r="A71" s="1"/>
      <c r="B71" s="1"/>
      <c r="C71" s="1"/>
      <c r="D71" s="1"/>
    </row>
    <row r="72" ht="13.5" customHeight="1">
      <c r="A72" s="1"/>
      <c r="B72" s="1"/>
      <c r="C72" s="1"/>
      <c r="D72" s="1"/>
    </row>
    <row r="73" ht="13.5" customHeight="1">
      <c r="A73" s="1"/>
      <c r="B73" s="1"/>
      <c r="C73" s="1"/>
      <c r="D73" s="1"/>
    </row>
    <row r="74" ht="13.5" customHeight="1">
      <c r="A74" s="1"/>
      <c r="B74" s="1"/>
      <c r="C74" s="1"/>
      <c r="D74" s="1"/>
    </row>
    <row r="75" ht="13.5" customHeight="1">
      <c r="A75" s="1"/>
      <c r="B75" s="1"/>
      <c r="C75" s="1"/>
      <c r="D75" s="1"/>
    </row>
    <row r="76" ht="13.5" customHeight="1">
      <c r="A76" s="1"/>
      <c r="B76" s="1"/>
      <c r="C76" s="1"/>
      <c r="D76" s="1"/>
    </row>
    <row r="77" ht="13.5" customHeight="1">
      <c r="A77" s="1"/>
      <c r="B77" s="1"/>
      <c r="C77" s="1"/>
      <c r="D77" s="1"/>
    </row>
    <row r="78" ht="13.5" customHeight="1">
      <c r="A78" s="1"/>
      <c r="B78" s="1"/>
      <c r="C78" s="1"/>
      <c r="D78" s="1"/>
    </row>
    <row r="79" ht="13.5" customHeight="1">
      <c r="A79" s="1"/>
      <c r="B79" s="1"/>
      <c r="C79" s="1"/>
      <c r="D79" s="1"/>
    </row>
    <row r="80" ht="13.5" customHeight="1">
      <c r="A80" s="1"/>
      <c r="B80" s="1"/>
      <c r="C80" s="1"/>
      <c r="D80" s="1"/>
    </row>
    <row r="81" ht="13.5" customHeight="1">
      <c r="A81" s="1"/>
      <c r="B81" s="1"/>
      <c r="C81" s="1"/>
      <c r="D81" s="1"/>
    </row>
    <row r="82" ht="13.5" customHeight="1">
      <c r="A82" s="1"/>
      <c r="B82" s="1"/>
      <c r="C82" s="1"/>
      <c r="D82" s="1"/>
    </row>
    <row r="83" ht="13.5" customHeight="1">
      <c r="A83" s="1"/>
      <c r="B83" s="1"/>
      <c r="C83" s="1"/>
      <c r="D83" s="1"/>
    </row>
    <row r="84" ht="13.5" customHeight="1">
      <c r="A84" s="1"/>
      <c r="B84" s="1"/>
      <c r="C84" s="1"/>
      <c r="D84" s="1"/>
    </row>
    <row r="85" ht="13.5" customHeight="1">
      <c r="A85" s="1"/>
      <c r="B85" s="1"/>
      <c r="C85" s="1"/>
      <c r="D85" s="1"/>
    </row>
    <row r="86" ht="13.5" customHeight="1">
      <c r="A86" s="1"/>
      <c r="B86" s="1"/>
      <c r="C86" s="1"/>
      <c r="D86" s="1"/>
    </row>
    <row r="87" ht="13.5" customHeight="1">
      <c r="A87" s="1"/>
      <c r="B87" s="1"/>
      <c r="C87" s="1"/>
      <c r="D87" s="1"/>
    </row>
    <row r="88" ht="13.5" customHeight="1">
      <c r="A88" s="1"/>
      <c r="B88" s="1"/>
      <c r="C88" s="1"/>
      <c r="D88" s="1"/>
    </row>
    <row r="89" ht="13.5" customHeight="1">
      <c r="A89" s="1"/>
      <c r="B89" s="1"/>
      <c r="C89" s="1"/>
      <c r="D89" s="1"/>
    </row>
    <row r="90" ht="13.5" customHeight="1">
      <c r="A90" s="1"/>
      <c r="B90" s="1"/>
      <c r="C90" s="1"/>
      <c r="D90" s="1"/>
    </row>
    <row r="91" ht="13.5" customHeight="1">
      <c r="A91" s="1"/>
      <c r="B91" s="1"/>
      <c r="C91" s="1"/>
      <c r="D91" s="1"/>
    </row>
    <row r="92" ht="13.5" customHeight="1">
      <c r="A92" s="1"/>
      <c r="B92" s="1"/>
      <c r="C92" s="1"/>
      <c r="D92" s="1"/>
    </row>
    <row r="93" ht="13.5" customHeight="1">
      <c r="A93" s="1"/>
      <c r="B93" s="1"/>
      <c r="C93" s="1"/>
      <c r="D93" s="1"/>
    </row>
    <row r="94" ht="13.5" customHeight="1">
      <c r="A94" s="1"/>
      <c r="B94" s="1"/>
      <c r="C94" s="1"/>
      <c r="D94" s="1"/>
    </row>
    <row r="95" ht="13.5" customHeight="1">
      <c r="A95" s="1"/>
      <c r="B95" s="1"/>
      <c r="C95" s="1"/>
      <c r="D95" s="1"/>
    </row>
    <row r="96" ht="13.5" customHeight="1">
      <c r="A96" s="1"/>
      <c r="B96" s="1"/>
      <c r="C96" s="1"/>
      <c r="D96" s="1"/>
    </row>
    <row r="97" ht="13.5" customHeight="1">
      <c r="A97" s="1"/>
      <c r="B97" s="1"/>
      <c r="C97" s="1"/>
      <c r="D97" s="1"/>
    </row>
    <row r="98" ht="13.5" customHeight="1">
      <c r="A98" s="1"/>
      <c r="B98" s="1"/>
      <c r="C98" s="1"/>
      <c r="D98" s="1"/>
    </row>
    <row r="99" ht="13.5" customHeight="1">
      <c r="A99" s="1"/>
      <c r="B99" s="1"/>
      <c r="C99" s="1"/>
      <c r="D99" s="1"/>
    </row>
    <row r="100" ht="13.5" customHeight="1">
      <c r="A100" s="1"/>
      <c r="B100" s="1"/>
      <c r="C100" s="1"/>
      <c r="D100" s="1"/>
    </row>
    <row r="101" ht="13.5" customHeight="1">
      <c r="A101" s="1"/>
      <c r="B101" s="1"/>
      <c r="C101" s="1"/>
      <c r="D101" s="1"/>
    </row>
    <row r="102" ht="13.5" customHeight="1">
      <c r="A102" s="1"/>
      <c r="B102" s="1"/>
      <c r="C102" s="1"/>
      <c r="D102" s="1"/>
    </row>
    <row r="103" ht="13.5" customHeight="1">
      <c r="A103" s="1"/>
      <c r="B103" s="1"/>
      <c r="C103" s="1"/>
      <c r="D103" s="1"/>
    </row>
    <row r="104" ht="13.5" customHeight="1">
      <c r="A104" s="1"/>
      <c r="B104" s="1"/>
      <c r="C104" s="1"/>
      <c r="D104" s="1"/>
    </row>
    <row r="105" ht="13.5" customHeight="1">
      <c r="A105" s="1"/>
      <c r="B105" s="1"/>
      <c r="C105" s="1"/>
      <c r="D105" s="1"/>
    </row>
    <row r="106" ht="13.5" customHeight="1">
      <c r="A106" s="1"/>
      <c r="B106" s="1"/>
      <c r="C106" s="1"/>
      <c r="D106" s="1"/>
    </row>
    <row r="107" ht="13.5" customHeight="1">
      <c r="A107" s="1"/>
      <c r="B107" s="1"/>
      <c r="C107" s="1"/>
      <c r="D107" s="1"/>
    </row>
    <row r="108" ht="13.5" customHeight="1">
      <c r="A108" s="1"/>
      <c r="B108" s="1"/>
      <c r="C108" s="1"/>
      <c r="D108" s="1"/>
    </row>
    <row r="109" ht="13.5" customHeight="1">
      <c r="A109" s="1"/>
      <c r="B109" s="1"/>
      <c r="C109" s="1"/>
      <c r="D109" s="1"/>
    </row>
    <row r="110" ht="13.5" customHeight="1">
      <c r="A110" s="1"/>
      <c r="B110" s="1"/>
      <c r="C110" s="1"/>
      <c r="D110" s="1"/>
    </row>
    <row r="111" ht="13.5" customHeight="1">
      <c r="A111" s="1"/>
      <c r="B111" s="1"/>
      <c r="C111" s="1"/>
      <c r="D111" s="1"/>
    </row>
    <row r="112" ht="13.5" customHeight="1">
      <c r="A112" s="1"/>
      <c r="B112" s="1"/>
      <c r="C112" s="1"/>
      <c r="D112" s="1"/>
    </row>
    <row r="113" ht="13.5" customHeight="1">
      <c r="A113" s="1"/>
      <c r="B113" s="1"/>
      <c r="C113" s="1"/>
      <c r="D113" s="1"/>
    </row>
    <row r="114" ht="13.5" customHeight="1">
      <c r="A114" s="1"/>
      <c r="B114" s="1"/>
      <c r="C114" s="1"/>
      <c r="D114" s="1"/>
    </row>
    <row r="115" ht="13.5" customHeight="1">
      <c r="A115" s="1"/>
      <c r="B115" s="1"/>
      <c r="C115" s="1"/>
      <c r="D115" s="1"/>
    </row>
    <row r="116" ht="13.5" customHeight="1">
      <c r="A116" s="1"/>
      <c r="B116" s="1"/>
      <c r="C116" s="1"/>
      <c r="D116" s="1"/>
    </row>
    <row r="117" ht="13.5" customHeight="1">
      <c r="A117" s="1"/>
      <c r="B117" s="1"/>
      <c r="C117" s="1"/>
      <c r="D117" s="1"/>
    </row>
    <row r="118" ht="13.5" customHeight="1">
      <c r="A118" s="1"/>
      <c r="B118" s="1"/>
      <c r="C118" s="1"/>
      <c r="D118" s="1"/>
    </row>
    <row r="119" ht="13.5" customHeight="1">
      <c r="A119" s="1"/>
      <c r="B119" s="1"/>
      <c r="C119" s="1"/>
      <c r="D119" s="1"/>
    </row>
    <row r="120" ht="13.5" customHeight="1">
      <c r="A120" s="1"/>
      <c r="B120" s="1"/>
      <c r="C120" s="1"/>
      <c r="D120" s="1"/>
    </row>
    <row r="121" ht="13.5" customHeight="1">
      <c r="A121" s="1"/>
      <c r="B121" s="1"/>
      <c r="C121" s="1"/>
      <c r="D121" s="1"/>
    </row>
    <row r="122" ht="13.5" customHeight="1">
      <c r="A122" s="1"/>
      <c r="B122" s="1"/>
      <c r="C122" s="1"/>
      <c r="D122" s="1"/>
    </row>
    <row r="123" ht="13.5" customHeight="1">
      <c r="A123" s="1"/>
      <c r="B123" s="1"/>
      <c r="C123" s="1"/>
      <c r="D123" s="1"/>
    </row>
    <row r="124" ht="13.5" customHeight="1">
      <c r="A124" s="1"/>
      <c r="B124" s="1"/>
      <c r="C124" s="1"/>
      <c r="D124" s="1"/>
    </row>
    <row r="125" ht="13.5" customHeight="1">
      <c r="A125" s="1"/>
      <c r="B125" s="1"/>
      <c r="C125" s="1"/>
      <c r="D125" s="1"/>
    </row>
    <row r="126" ht="13.5" customHeight="1">
      <c r="A126" s="1"/>
      <c r="B126" s="1"/>
      <c r="C126" s="1"/>
      <c r="D126" s="1"/>
    </row>
    <row r="127" ht="13.5" customHeight="1">
      <c r="A127" s="1"/>
      <c r="B127" s="1"/>
      <c r="C127" s="1"/>
      <c r="D127" s="1"/>
    </row>
    <row r="128" ht="13.5" customHeight="1">
      <c r="A128" s="1"/>
      <c r="B128" s="1"/>
      <c r="C128" s="1"/>
      <c r="D128" s="1"/>
    </row>
    <row r="129" ht="13.5" customHeight="1">
      <c r="A129" s="1"/>
      <c r="B129" s="1"/>
      <c r="C129" s="1"/>
      <c r="D129" s="1"/>
    </row>
    <row r="130" ht="13.5" customHeight="1">
      <c r="A130" s="1"/>
      <c r="B130" s="1"/>
      <c r="C130" s="1"/>
      <c r="D130" s="1"/>
    </row>
    <row r="131" ht="13.5" customHeight="1">
      <c r="A131" s="1"/>
      <c r="B131" s="1"/>
      <c r="C131" s="1"/>
      <c r="D131" s="1"/>
    </row>
    <row r="132" ht="13.5" customHeight="1">
      <c r="A132" s="1"/>
      <c r="B132" s="1"/>
      <c r="C132" s="1"/>
      <c r="D132" s="1"/>
    </row>
    <row r="133" ht="13.5" customHeight="1">
      <c r="A133" s="1"/>
      <c r="B133" s="1"/>
      <c r="C133" s="1"/>
      <c r="D133" s="1"/>
    </row>
    <row r="134" ht="13.5" customHeight="1">
      <c r="A134" s="1"/>
      <c r="B134" s="1"/>
      <c r="C134" s="1"/>
      <c r="D134" s="1"/>
    </row>
    <row r="135" ht="13.5" customHeight="1">
      <c r="A135" s="1"/>
      <c r="B135" s="1"/>
      <c r="C135" s="1"/>
      <c r="D135" s="1"/>
    </row>
    <row r="136" ht="13.5" customHeight="1">
      <c r="A136" s="1"/>
      <c r="B136" s="1"/>
      <c r="C136" s="1"/>
      <c r="D136" s="1"/>
    </row>
    <row r="137" ht="13.5" customHeight="1">
      <c r="A137" s="1"/>
      <c r="B137" s="1"/>
      <c r="C137" s="1"/>
      <c r="D137" s="1"/>
    </row>
    <row r="138" ht="13.5" customHeight="1">
      <c r="A138" s="1"/>
      <c r="B138" s="1"/>
      <c r="C138" s="1"/>
      <c r="D138" s="1"/>
    </row>
    <row r="139" ht="13.5" customHeight="1">
      <c r="A139" s="1"/>
      <c r="B139" s="1"/>
      <c r="C139" s="1"/>
      <c r="D139" s="1"/>
    </row>
    <row r="140" ht="13.5" customHeight="1">
      <c r="A140" s="1"/>
      <c r="B140" s="1"/>
      <c r="C140" s="1"/>
      <c r="D140" s="1"/>
    </row>
    <row r="141" ht="13.5" customHeight="1">
      <c r="A141" s="1"/>
      <c r="B141" s="1"/>
      <c r="C141" s="1"/>
      <c r="D141" s="1"/>
    </row>
    <row r="142" ht="13.5" customHeight="1">
      <c r="A142" s="1"/>
      <c r="B142" s="1"/>
      <c r="C142" s="1"/>
      <c r="D142" s="1"/>
    </row>
    <row r="143" ht="13.5" customHeight="1">
      <c r="A143" s="1"/>
      <c r="B143" s="1"/>
      <c r="C143" s="1"/>
      <c r="D143" s="1"/>
    </row>
    <row r="144" ht="13.5" customHeight="1">
      <c r="A144" s="1"/>
      <c r="B144" s="1"/>
      <c r="C144" s="1"/>
      <c r="D144" s="1"/>
    </row>
    <row r="145" ht="13.5" customHeight="1">
      <c r="A145" s="1"/>
      <c r="B145" s="1"/>
      <c r="C145" s="1"/>
      <c r="D145" s="1"/>
    </row>
    <row r="146" ht="13.5" customHeight="1">
      <c r="A146" s="1"/>
      <c r="B146" s="1"/>
      <c r="C146" s="1"/>
      <c r="D146" s="1"/>
    </row>
    <row r="147" ht="13.5" customHeight="1">
      <c r="A147" s="1"/>
      <c r="B147" s="1"/>
      <c r="C147" s="1"/>
      <c r="D147" s="1"/>
    </row>
    <row r="148" ht="13.5" customHeight="1">
      <c r="A148" s="1"/>
      <c r="B148" s="1"/>
      <c r="C148" s="1"/>
      <c r="D148" s="1"/>
    </row>
    <row r="149" ht="13.5" customHeight="1">
      <c r="A149" s="1"/>
      <c r="B149" s="1"/>
      <c r="C149" s="1"/>
      <c r="D149" s="1"/>
    </row>
    <row r="150" ht="13.5" customHeight="1">
      <c r="A150" s="1"/>
      <c r="B150" s="1"/>
      <c r="C150" s="1"/>
      <c r="D150" s="1"/>
    </row>
    <row r="151" ht="13.5" customHeight="1">
      <c r="A151" s="1"/>
      <c r="B151" s="1"/>
      <c r="C151" s="1"/>
      <c r="D151" s="1"/>
    </row>
    <row r="152" ht="13.5" customHeight="1">
      <c r="A152" s="1"/>
      <c r="B152" s="1"/>
      <c r="C152" s="1"/>
      <c r="D152" s="1"/>
    </row>
    <row r="153" ht="13.5" customHeight="1">
      <c r="A153" s="1"/>
      <c r="B153" s="1"/>
      <c r="C153" s="1"/>
      <c r="D153" s="1"/>
    </row>
    <row r="154" ht="13.5" customHeight="1">
      <c r="A154" s="1"/>
      <c r="B154" s="1"/>
      <c r="C154" s="1"/>
      <c r="D154" s="1"/>
    </row>
    <row r="155" ht="13.5" customHeight="1">
      <c r="A155" s="1"/>
      <c r="B155" s="1"/>
      <c r="C155" s="1"/>
      <c r="D155" s="1"/>
    </row>
    <row r="156" ht="13.5" customHeight="1">
      <c r="A156" s="1"/>
      <c r="B156" s="1"/>
      <c r="C156" s="1"/>
      <c r="D156" s="1"/>
    </row>
    <row r="157" ht="13.5" customHeight="1">
      <c r="A157" s="1"/>
      <c r="B157" s="1"/>
      <c r="C157" s="1"/>
      <c r="D157" s="1"/>
    </row>
    <row r="158" ht="13.5" customHeight="1">
      <c r="A158" s="1"/>
      <c r="B158" s="1"/>
      <c r="C158" s="1"/>
      <c r="D158" s="1"/>
    </row>
    <row r="159" ht="13.5" customHeight="1">
      <c r="A159" s="1"/>
      <c r="B159" s="1"/>
      <c r="C159" s="1"/>
      <c r="D159" s="1"/>
    </row>
    <row r="160" ht="13.5" customHeight="1">
      <c r="A160" s="1"/>
      <c r="B160" s="1"/>
      <c r="C160" s="1"/>
      <c r="D160" s="1"/>
    </row>
    <row r="161" ht="13.5" customHeight="1">
      <c r="A161" s="1"/>
      <c r="B161" s="1"/>
      <c r="C161" s="1"/>
      <c r="D161" s="1"/>
    </row>
    <row r="162" ht="13.5" customHeight="1">
      <c r="A162" s="1"/>
      <c r="B162" s="1"/>
      <c r="C162" s="1"/>
      <c r="D162" s="1"/>
    </row>
    <row r="163" ht="13.5" customHeight="1">
      <c r="A163" s="1"/>
      <c r="B163" s="1"/>
      <c r="C163" s="1"/>
      <c r="D163" s="1"/>
    </row>
    <row r="164" ht="13.5" customHeight="1">
      <c r="A164" s="1"/>
      <c r="B164" s="1"/>
      <c r="C164" s="1"/>
      <c r="D164" s="1"/>
    </row>
    <row r="165" ht="13.5" customHeight="1">
      <c r="A165" s="1"/>
      <c r="B165" s="1"/>
      <c r="C165" s="1"/>
      <c r="D165" s="1"/>
    </row>
    <row r="166" ht="13.5" customHeight="1">
      <c r="A166" s="1"/>
      <c r="B166" s="1"/>
      <c r="C166" s="1"/>
      <c r="D166" s="1"/>
    </row>
    <row r="167" ht="13.5" customHeight="1">
      <c r="A167" s="1"/>
      <c r="B167" s="1"/>
      <c r="C167" s="1"/>
      <c r="D167" s="1"/>
    </row>
    <row r="168" ht="13.5" customHeight="1">
      <c r="A168" s="1"/>
      <c r="B168" s="1"/>
      <c r="C168" s="1"/>
      <c r="D168" s="1"/>
    </row>
    <row r="169" ht="13.5" customHeight="1">
      <c r="A169" s="1"/>
      <c r="B169" s="1"/>
      <c r="C169" s="1"/>
      <c r="D169" s="1"/>
    </row>
    <row r="170" ht="13.5" customHeight="1">
      <c r="A170" s="1"/>
      <c r="B170" s="1"/>
      <c r="C170" s="1"/>
      <c r="D170" s="1"/>
    </row>
    <row r="171" ht="13.5" customHeight="1">
      <c r="A171" s="1"/>
      <c r="B171" s="1"/>
      <c r="C171" s="1"/>
      <c r="D171" s="1"/>
    </row>
    <row r="172" ht="13.5" customHeight="1">
      <c r="A172" s="1"/>
      <c r="B172" s="1"/>
      <c r="C172" s="1"/>
      <c r="D172" s="1"/>
    </row>
    <row r="173" ht="13.5" customHeight="1">
      <c r="A173" s="1"/>
      <c r="B173" s="1"/>
      <c r="C173" s="1"/>
      <c r="D173" s="1"/>
    </row>
    <row r="174" ht="13.5" customHeight="1">
      <c r="A174" s="1"/>
      <c r="B174" s="1"/>
      <c r="C174" s="1"/>
      <c r="D174" s="1"/>
    </row>
    <row r="175" ht="13.5" customHeight="1">
      <c r="A175" s="1"/>
      <c r="B175" s="1"/>
      <c r="C175" s="1"/>
      <c r="D175" s="1"/>
    </row>
    <row r="176" ht="13.5" customHeight="1">
      <c r="A176" s="1"/>
      <c r="B176" s="1"/>
      <c r="C176" s="1"/>
      <c r="D176" s="1"/>
    </row>
    <row r="177" ht="13.5" customHeight="1">
      <c r="A177" s="1"/>
      <c r="B177" s="1"/>
      <c r="C177" s="1"/>
      <c r="D177" s="1"/>
    </row>
    <row r="178" ht="13.5" customHeight="1">
      <c r="A178" s="1"/>
      <c r="B178" s="1"/>
      <c r="C178" s="1"/>
      <c r="D178" s="1"/>
    </row>
    <row r="179" ht="13.5" customHeight="1">
      <c r="A179" s="1"/>
      <c r="B179" s="1"/>
      <c r="C179" s="1"/>
      <c r="D179" s="1"/>
    </row>
    <row r="180" ht="13.5" customHeight="1">
      <c r="A180" s="1"/>
      <c r="B180" s="1"/>
      <c r="C180" s="1"/>
      <c r="D180" s="1"/>
    </row>
    <row r="181" ht="13.5" customHeight="1">
      <c r="A181" s="1"/>
      <c r="B181" s="1"/>
      <c r="C181" s="1"/>
      <c r="D181" s="1"/>
    </row>
    <row r="182" ht="13.5" customHeight="1">
      <c r="A182" s="1"/>
      <c r="B182" s="1"/>
      <c r="C182" s="1"/>
      <c r="D182" s="1"/>
    </row>
    <row r="183" ht="13.5" customHeight="1">
      <c r="A183" s="1"/>
      <c r="B183" s="1"/>
      <c r="C183" s="1"/>
      <c r="D183" s="1"/>
    </row>
    <row r="184" ht="13.5" customHeight="1">
      <c r="A184" s="1"/>
      <c r="B184" s="1"/>
      <c r="C184" s="1"/>
      <c r="D184" s="1"/>
    </row>
    <row r="185" ht="13.5" customHeight="1">
      <c r="A185" s="1"/>
      <c r="B185" s="1"/>
      <c r="C185" s="1"/>
      <c r="D185" s="1"/>
    </row>
    <row r="186" ht="13.5" customHeight="1">
      <c r="A186" s="1"/>
      <c r="B186" s="1"/>
      <c r="C186" s="1"/>
      <c r="D186" s="1"/>
    </row>
    <row r="187" ht="13.5" customHeight="1">
      <c r="A187" s="1"/>
      <c r="B187" s="1"/>
      <c r="C187" s="1"/>
      <c r="D187" s="1"/>
    </row>
    <row r="188" ht="13.5" customHeight="1">
      <c r="A188" s="1"/>
      <c r="B188" s="1"/>
      <c r="C188" s="1"/>
      <c r="D188" s="1"/>
    </row>
    <row r="189" ht="13.5" customHeight="1">
      <c r="A189" s="1"/>
      <c r="B189" s="1"/>
      <c r="C189" s="1"/>
      <c r="D189" s="1"/>
    </row>
    <row r="190" ht="13.5" customHeight="1">
      <c r="A190" s="1"/>
      <c r="B190" s="1"/>
      <c r="C190" s="1"/>
      <c r="D190" s="1"/>
    </row>
    <row r="191" ht="13.5" customHeight="1">
      <c r="A191" s="1"/>
      <c r="B191" s="1"/>
      <c r="C191" s="1"/>
      <c r="D191" s="1"/>
    </row>
    <row r="192" ht="13.5" customHeight="1">
      <c r="A192" s="1"/>
      <c r="B192" s="1"/>
      <c r="C192" s="1"/>
      <c r="D192" s="1"/>
    </row>
    <row r="193" ht="13.5" customHeight="1">
      <c r="A193" s="1"/>
      <c r="B193" s="1"/>
      <c r="C193" s="1"/>
      <c r="D193" s="1"/>
    </row>
    <row r="194" ht="13.5" customHeight="1">
      <c r="A194" s="1"/>
      <c r="B194" s="1"/>
      <c r="C194" s="1"/>
      <c r="D194" s="1"/>
    </row>
    <row r="195" ht="13.5" customHeight="1">
      <c r="A195" s="1"/>
      <c r="B195" s="1"/>
      <c r="C195" s="1"/>
      <c r="D195" s="1"/>
    </row>
    <row r="196" ht="13.5" customHeight="1">
      <c r="A196" s="1"/>
      <c r="B196" s="1"/>
      <c r="C196" s="1"/>
      <c r="D196" s="1"/>
    </row>
    <row r="197" ht="13.5" customHeight="1">
      <c r="A197" s="1"/>
      <c r="B197" s="1"/>
      <c r="C197" s="1"/>
      <c r="D197" s="1"/>
    </row>
    <row r="198" ht="13.5" customHeight="1">
      <c r="A198" s="1"/>
      <c r="B198" s="1"/>
      <c r="C198" s="1"/>
      <c r="D198" s="1"/>
    </row>
    <row r="199" ht="13.5" customHeight="1">
      <c r="A199" s="1"/>
      <c r="B199" s="1"/>
      <c r="C199" s="1"/>
      <c r="D199" s="1"/>
    </row>
    <row r="200" ht="13.5" customHeight="1">
      <c r="A200" s="1"/>
      <c r="B200" s="1"/>
      <c r="C200" s="1"/>
      <c r="D200" s="1"/>
    </row>
    <row r="201" ht="13.5" customHeight="1">
      <c r="A201" s="1"/>
      <c r="B201" s="1"/>
      <c r="C201" s="1"/>
      <c r="D201" s="1"/>
    </row>
    <row r="202" ht="13.5" customHeight="1">
      <c r="A202" s="1"/>
      <c r="B202" s="1"/>
      <c r="C202" s="1"/>
      <c r="D202" s="1"/>
    </row>
    <row r="203" ht="13.5" customHeight="1">
      <c r="A203" s="1"/>
      <c r="B203" s="1"/>
      <c r="C203" s="1"/>
      <c r="D203" s="1"/>
    </row>
    <row r="204" ht="13.5" customHeight="1">
      <c r="A204" s="1"/>
      <c r="B204" s="1"/>
      <c r="C204" s="1"/>
      <c r="D204" s="1"/>
    </row>
    <row r="205" ht="13.5" customHeight="1">
      <c r="A205" s="1"/>
      <c r="B205" s="1"/>
      <c r="C205" s="1"/>
      <c r="D205" s="1"/>
    </row>
    <row r="206" ht="13.5" customHeight="1">
      <c r="A206" s="1"/>
      <c r="B206" s="1"/>
      <c r="C206" s="1"/>
      <c r="D206" s="1"/>
    </row>
    <row r="207" ht="13.5" customHeight="1">
      <c r="A207" s="1"/>
      <c r="B207" s="1"/>
      <c r="C207" s="1"/>
      <c r="D207" s="1"/>
    </row>
    <row r="208" ht="13.5" customHeight="1">
      <c r="A208" s="1"/>
      <c r="B208" s="1"/>
      <c r="C208" s="1"/>
      <c r="D208" s="1"/>
    </row>
    <row r="209" ht="13.5" customHeight="1">
      <c r="A209" s="1"/>
      <c r="B209" s="1"/>
      <c r="C209" s="1"/>
      <c r="D209" s="1"/>
    </row>
    <row r="210" ht="13.5" customHeight="1">
      <c r="A210" s="1"/>
      <c r="B210" s="1"/>
      <c r="C210" s="1"/>
      <c r="D210" s="1"/>
    </row>
    <row r="211" ht="13.5" customHeight="1">
      <c r="A211" s="1"/>
      <c r="B211" s="1"/>
      <c r="C211" s="1"/>
      <c r="D211" s="1"/>
    </row>
    <row r="212" ht="13.5" customHeight="1">
      <c r="A212" s="1"/>
      <c r="B212" s="1"/>
      <c r="C212" s="1"/>
      <c r="D212" s="1"/>
    </row>
    <row r="213" ht="13.5" customHeight="1">
      <c r="A213" s="1"/>
      <c r="B213" s="1"/>
      <c r="C213" s="1"/>
      <c r="D213" s="1"/>
    </row>
    <row r="214" ht="13.5" customHeight="1">
      <c r="A214" s="1"/>
      <c r="B214" s="1"/>
      <c r="C214" s="1"/>
      <c r="D214" s="1"/>
    </row>
    <row r="215" ht="13.5" customHeight="1">
      <c r="A215" s="1"/>
      <c r="B215" s="1"/>
      <c r="C215" s="1"/>
      <c r="D215" s="1"/>
    </row>
    <row r="216" ht="13.5" customHeight="1">
      <c r="A216" s="1"/>
      <c r="B216" s="1"/>
      <c r="C216" s="1"/>
      <c r="D216" s="1"/>
    </row>
    <row r="217" ht="13.5" customHeight="1">
      <c r="A217" s="1"/>
      <c r="B217" s="1"/>
      <c r="C217" s="1"/>
      <c r="D217" s="1"/>
    </row>
    <row r="218" ht="13.5" customHeight="1">
      <c r="A218" s="1"/>
      <c r="B218" s="1"/>
      <c r="C218" s="1"/>
      <c r="D218" s="1"/>
    </row>
    <row r="219" ht="13.5" customHeight="1">
      <c r="A219" s="1"/>
      <c r="B219" s="1"/>
      <c r="C219" s="1"/>
      <c r="D219" s="1"/>
    </row>
    <row r="220" ht="13.5" customHeight="1">
      <c r="A220" s="1"/>
      <c r="B220" s="1"/>
      <c r="C220" s="1"/>
      <c r="D220" s="1"/>
    </row>
    <row r="221" ht="13.5" customHeight="1">
      <c r="A221" s="1"/>
      <c r="B221" s="1"/>
      <c r="C221" s="1"/>
      <c r="D221" s="1"/>
    </row>
    <row r="222" ht="13.5" customHeight="1">
      <c r="A222" s="1"/>
      <c r="B222" s="1"/>
      <c r="C222" s="1"/>
      <c r="D222" s="1"/>
    </row>
    <row r="223" ht="13.5" customHeight="1">
      <c r="A223" s="1"/>
      <c r="B223" s="1"/>
      <c r="C223" s="1"/>
      <c r="D223" s="1"/>
    </row>
    <row r="224" ht="13.5" customHeight="1">
      <c r="A224" s="1"/>
      <c r="B224" s="1"/>
      <c r="C224" s="1"/>
      <c r="D224" s="1"/>
    </row>
    <row r="225" ht="13.5" customHeight="1">
      <c r="A225" s="1"/>
      <c r="B225" s="1"/>
      <c r="C225" s="1"/>
      <c r="D225" s="1"/>
    </row>
    <row r="226" ht="13.5" customHeight="1">
      <c r="A226" s="1"/>
      <c r="B226" s="1"/>
      <c r="C226" s="1"/>
      <c r="D226" s="1"/>
    </row>
    <row r="227" ht="13.5" customHeight="1">
      <c r="A227" s="1"/>
      <c r="B227" s="1"/>
      <c r="C227" s="1"/>
      <c r="D227" s="1"/>
    </row>
    <row r="228" ht="13.5" customHeight="1">
      <c r="A228" s="1"/>
      <c r="B228" s="1"/>
      <c r="C228" s="1"/>
      <c r="D228" s="1"/>
    </row>
    <row r="229" ht="13.5" customHeight="1">
      <c r="A229" s="1"/>
      <c r="B229" s="1"/>
      <c r="C229" s="1"/>
      <c r="D229" s="1"/>
    </row>
    <row r="230" ht="13.5" customHeight="1">
      <c r="A230" s="1"/>
      <c r="B230" s="1"/>
      <c r="C230" s="1"/>
      <c r="D230" s="1"/>
    </row>
    <row r="231" ht="13.5" customHeight="1">
      <c r="A231" s="1"/>
      <c r="B231" s="1"/>
      <c r="C231" s="1"/>
      <c r="D231" s="1"/>
    </row>
    <row r="232" ht="13.5" customHeight="1">
      <c r="A232" s="1"/>
      <c r="B232" s="1"/>
      <c r="C232" s="1"/>
      <c r="D232" s="1"/>
    </row>
    <row r="233" ht="13.5" customHeight="1">
      <c r="A233" s="1"/>
      <c r="B233" s="1"/>
      <c r="C233" s="1"/>
      <c r="D233" s="1"/>
    </row>
    <row r="234" ht="13.5" customHeight="1">
      <c r="A234" s="1"/>
      <c r="B234" s="1"/>
      <c r="C234" s="1"/>
      <c r="D234" s="1"/>
    </row>
    <row r="235" ht="13.5" customHeight="1">
      <c r="A235" s="1"/>
      <c r="B235" s="1"/>
      <c r="C235" s="1"/>
      <c r="D235" s="1"/>
    </row>
    <row r="236" ht="13.5" customHeight="1">
      <c r="A236" s="1"/>
      <c r="B236" s="1"/>
      <c r="C236" s="1"/>
      <c r="D236" s="1"/>
    </row>
    <row r="237" ht="13.5" customHeight="1">
      <c r="A237" s="1"/>
      <c r="B237" s="1"/>
      <c r="C237" s="1"/>
      <c r="D237" s="1"/>
    </row>
    <row r="238" ht="13.5" customHeight="1">
      <c r="A238" s="1"/>
      <c r="B238" s="1"/>
      <c r="C238" s="1"/>
      <c r="D238" s="1"/>
    </row>
    <row r="239" ht="13.5" customHeight="1">
      <c r="A239" s="1"/>
      <c r="B239" s="1"/>
      <c r="C239" s="1"/>
      <c r="D239" s="1"/>
    </row>
    <row r="240" ht="13.5" customHeight="1">
      <c r="A240" s="1"/>
      <c r="B240" s="1"/>
      <c r="C240" s="1"/>
      <c r="D240" s="1"/>
    </row>
    <row r="241" ht="13.5" customHeight="1">
      <c r="A241" s="1"/>
      <c r="B241" s="1"/>
      <c r="C241" s="1"/>
      <c r="D241" s="1"/>
    </row>
    <row r="242" ht="13.5" customHeight="1">
      <c r="A242" s="1"/>
      <c r="B242" s="1"/>
      <c r="C242" s="1"/>
      <c r="D242" s="1"/>
    </row>
    <row r="243" ht="13.5" customHeight="1">
      <c r="A243" s="1"/>
      <c r="B243" s="1"/>
      <c r="C243" s="1"/>
      <c r="D243" s="1"/>
    </row>
    <row r="244" ht="13.5" customHeight="1">
      <c r="A244" s="1"/>
      <c r="B244" s="1"/>
      <c r="C244" s="1"/>
      <c r="D244" s="1"/>
    </row>
    <row r="245" ht="13.5" customHeight="1">
      <c r="A245" s="1"/>
      <c r="B245" s="1"/>
      <c r="C245" s="1"/>
      <c r="D245" s="1"/>
    </row>
    <row r="246" ht="13.5" customHeight="1">
      <c r="A246" s="1"/>
      <c r="B246" s="1"/>
      <c r="C246" s="1"/>
      <c r="D246" s="1"/>
    </row>
    <row r="247" ht="13.5" customHeight="1">
      <c r="A247" s="1"/>
      <c r="B247" s="1"/>
      <c r="C247" s="1"/>
      <c r="D247" s="1"/>
    </row>
    <row r="248" ht="13.5" customHeight="1">
      <c r="A248" s="1"/>
      <c r="B248" s="1"/>
      <c r="C248" s="1"/>
      <c r="D248" s="1"/>
    </row>
    <row r="249" ht="13.5" customHeight="1">
      <c r="A249" s="1"/>
      <c r="B249" s="1"/>
      <c r="C249" s="1"/>
      <c r="D249" s="1"/>
    </row>
    <row r="250" ht="13.5" customHeight="1">
      <c r="A250" s="1"/>
      <c r="B250" s="1"/>
      <c r="C250" s="1"/>
      <c r="D250" s="1"/>
    </row>
    <row r="251" ht="13.5" customHeight="1">
      <c r="A251" s="1"/>
      <c r="B251" s="1"/>
      <c r="C251" s="1"/>
      <c r="D251" s="1"/>
    </row>
    <row r="252" ht="13.5" customHeight="1">
      <c r="A252" s="1"/>
      <c r="B252" s="1"/>
      <c r="C252" s="1"/>
      <c r="D252" s="1"/>
    </row>
    <row r="253" ht="13.5" customHeight="1">
      <c r="A253" s="1"/>
      <c r="B253" s="1"/>
      <c r="C253" s="1"/>
      <c r="D253" s="1"/>
    </row>
    <row r="254" ht="13.5" customHeight="1">
      <c r="A254" s="1"/>
      <c r="B254" s="1"/>
      <c r="C254" s="1"/>
      <c r="D254" s="1"/>
    </row>
    <row r="255" ht="13.5" customHeight="1">
      <c r="A255" s="1"/>
      <c r="B255" s="1"/>
      <c r="C255" s="1"/>
      <c r="D255" s="1"/>
    </row>
    <row r="256" ht="13.5" customHeight="1">
      <c r="A256" s="1"/>
      <c r="B256" s="1"/>
      <c r="C256" s="1"/>
      <c r="D256" s="1"/>
    </row>
    <row r="257" ht="13.5" customHeight="1">
      <c r="A257" s="1"/>
      <c r="B257" s="1"/>
      <c r="C257" s="1"/>
      <c r="D257" s="1"/>
    </row>
    <row r="258" ht="13.5" customHeight="1">
      <c r="A258" s="1"/>
      <c r="B258" s="1"/>
      <c r="C258" s="1"/>
      <c r="D258" s="1"/>
    </row>
    <row r="259" ht="13.5" customHeight="1">
      <c r="A259" s="1"/>
      <c r="B259" s="1"/>
      <c r="C259" s="1"/>
      <c r="D259" s="1"/>
    </row>
    <row r="260" ht="13.5" customHeight="1">
      <c r="A260" s="1"/>
      <c r="B260" s="1"/>
      <c r="C260" s="1"/>
      <c r="D260" s="1"/>
    </row>
    <row r="261" ht="13.5" customHeight="1">
      <c r="A261" s="1"/>
      <c r="B261" s="1"/>
      <c r="C261" s="1"/>
      <c r="D261" s="1"/>
    </row>
    <row r="262" ht="13.5" customHeight="1">
      <c r="A262" s="1"/>
      <c r="B262" s="1"/>
      <c r="C262" s="1"/>
      <c r="D262" s="1"/>
    </row>
    <row r="263" ht="13.5" customHeight="1">
      <c r="A263" s="1"/>
      <c r="B263" s="1"/>
      <c r="C263" s="1"/>
      <c r="D263" s="1"/>
    </row>
    <row r="264" ht="13.5" customHeight="1">
      <c r="A264" s="1"/>
      <c r="B264" s="1"/>
      <c r="C264" s="1"/>
      <c r="D264" s="1"/>
    </row>
    <row r="265" ht="13.5" customHeight="1">
      <c r="A265" s="1"/>
      <c r="B265" s="1"/>
      <c r="C265" s="1"/>
      <c r="D265" s="1"/>
    </row>
    <row r="266" ht="13.5" customHeight="1">
      <c r="A266" s="1"/>
      <c r="B266" s="1"/>
      <c r="C266" s="1"/>
      <c r="D266" s="1"/>
    </row>
    <row r="267" ht="13.5" customHeight="1">
      <c r="A267" s="1"/>
      <c r="B267" s="1"/>
      <c r="C267" s="1"/>
      <c r="D267" s="1"/>
    </row>
    <row r="268" ht="13.5" customHeight="1">
      <c r="A268" s="1"/>
      <c r="B268" s="1"/>
      <c r="C268" s="1"/>
      <c r="D268" s="1"/>
    </row>
    <row r="269" ht="13.5" customHeight="1">
      <c r="A269" s="1"/>
      <c r="B269" s="1"/>
      <c r="C269" s="1"/>
      <c r="D269" s="1"/>
    </row>
    <row r="270" ht="13.5" customHeight="1">
      <c r="A270" s="1"/>
      <c r="B270" s="1"/>
      <c r="C270" s="1"/>
      <c r="D270" s="1"/>
    </row>
    <row r="271" ht="13.5" customHeight="1">
      <c r="A271" s="1"/>
      <c r="B271" s="1"/>
      <c r="C271" s="1"/>
      <c r="D271" s="1"/>
    </row>
    <row r="272" ht="13.5" customHeight="1">
      <c r="A272" s="1"/>
      <c r="B272" s="1"/>
      <c r="C272" s="1"/>
      <c r="D272" s="1"/>
    </row>
    <row r="273" ht="13.5" customHeight="1">
      <c r="A273" s="1"/>
      <c r="B273" s="1"/>
      <c r="C273" s="1"/>
      <c r="D273" s="1"/>
    </row>
    <row r="274" ht="13.5" customHeight="1">
      <c r="A274" s="1"/>
      <c r="B274" s="1"/>
      <c r="C274" s="1"/>
      <c r="D274" s="1"/>
    </row>
    <row r="275" ht="13.5" customHeight="1">
      <c r="A275" s="1"/>
      <c r="B275" s="1"/>
      <c r="C275" s="1"/>
      <c r="D275" s="1"/>
    </row>
    <row r="276" ht="13.5" customHeight="1">
      <c r="A276" s="1"/>
      <c r="B276" s="1"/>
      <c r="C276" s="1"/>
      <c r="D276" s="1"/>
    </row>
    <row r="277" ht="13.5" customHeight="1">
      <c r="A277" s="1"/>
      <c r="B277" s="1"/>
      <c r="C277" s="1"/>
      <c r="D277" s="1"/>
    </row>
    <row r="278" ht="13.5" customHeight="1">
      <c r="A278" s="1"/>
      <c r="B278" s="1"/>
      <c r="C278" s="1"/>
      <c r="D278" s="1"/>
    </row>
    <row r="279" ht="13.5" customHeight="1">
      <c r="A279" s="1"/>
      <c r="B279" s="1"/>
      <c r="C279" s="1"/>
      <c r="D279" s="1"/>
    </row>
    <row r="280" ht="13.5" customHeight="1">
      <c r="A280" s="1"/>
      <c r="B280" s="1"/>
      <c r="C280" s="1"/>
      <c r="D280" s="1"/>
    </row>
    <row r="281" ht="13.5" customHeight="1">
      <c r="A281" s="1"/>
      <c r="B281" s="1"/>
      <c r="C281" s="1"/>
      <c r="D281" s="1"/>
    </row>
    <row r="282" ht="13.5" customHeight="1">
      <c r="A282" s="1"/>
      <c r="B282" s="1"/>
      <c r="C282" s="1"/>
      <c r="D282" s="1"/>
    </row>
    <row r="283" ht="13.5" customHeight="1">
      <c r="A283" s="1"/>
      <c r="B283" s="1"/>
      <c r="C283" s="1"/>
      <c r="D283" s="1"/>
    </row>
    <row r="284" ht="13.5" customHeight="1">
      <c r="A284" s="1"/>
      <c r="B284" s="1"/>
      <c r="C284" s="1"/>
      <c r="D284" s="1"/>
    </row>
    <row r="285" ht="13.5" customHeight="1">
      <c r="A285" s="1"/>
      <c r="B285" s="1"/>
      <c r="C285" s="1"/>
      <c r="D285" s="1"/>
    </row>
    <row r="286" ht="13.5" customHeight="1">
      <c r="A286" s="1"/>
      <c r="B286" s="1"/>
      <c r="C286" s="1"/>
      <c r="D286" s="1"/>
    </row>
    <row r="287" ht="13.5" customHeight="1">
      <c r="A287" s="1"/>
      <c r="B287" s="1"/>
      <c r="C287" s="1"/>
      <c r="D287" s="1"/>
    </row>
    <row r="288" ht="13.5" customHeight="1">
      <c r="A288" s="1"/>
      <c r="B288" s="1"/>
      <c r="C288" s="1"/>
      <c r="D288" s="1"/>
    </row>
    <row r="289" ht="13.5" customHeight="1">
      <c r="A289" s="1"/>
      <c r="B289" s="1"/>
      <c r="C289" s="1"/>
      <c r="D289" s="1"/>
    </row>
    <row r="290" ht="13.5" customHeight="1">
      <c r="A290" s="1"/>
      <c r="B290" s="1"/>
      <c r="C290" s="1"/>
      <c r="D290" s="1"/>
    </row>
    <row r="291" ht="13.5" customHeight="1">
      <c r="A291" s="1"/>
      <c r="B291" s="1"/>
      <c r="C291" s="1"/>
      <c r="D291" s="1"/>
    </row>
    <row r="292" ht="13.5" customHeight="1">
      <c r="A292" s="1"/>
      <c r="B292" s="1"/>
      <c r="C292" s="1"/>
      <c r="D292" s="1"/>
    </row>
    <row r="293" ht="13.5" customHeight="1">
      <c r="A293" s="1"/>
      <c r="B293" s="1"/>
      <c r="C293" s="1"/>
      <c r="D293" s="1"/>
    </row>
    <row r="294" ht="13.5" customHeight="1">
      <c r="A294" s="1"/>
      <c r="B294" s="1"/>
      <c r="C294" s="1"/>
      <c r="D294" s="1"/>
    </row>
    <row r="295" ht="13.5" customHeight="1">
      <c r="A295" s="1"/>
      <c r="B295" s="1"/>
      <c r="C295" s="1"/>
      <c r="D295" s="1"/>
    </row>
    <row r="296" ht="13.5" customHeight="1">
      <c r="A296" s="1"/>
      <c r="B296" s="1"/>
      <c r="C296" s="1"/>
      <c r="D296" s="1"/>
    </row>
    <row r="297" ht="13.5" customHeight="1">
      <c r="A297" s="1"/>
      <c r="B297" s="1"/>
      <c r="C297" s="1"/>
      <c r="D297" s="1"/>
    </row>
    <row r="298" ht="13.5" customHeight="1">
      <c r="A298" s="1"/>
      <c r="B298" s="1"/>
      <c r="C298" s="1"/>
      <c r="D298" s="1"/>
    </row>
    <row r="299" ht="13.5" customHeight="1">
      <c r="A299" s="1"/>
      <c r="B299" s="1"/>
      <c r="C299" s="1"/>
      <c r="D299" s="1"/>
    </row>
    <row r="300" ht="13.5" customHeight="1">
      <c r="A300" s="1"/>
      <c r="B300" s="1"/>
      <c r="C300" s="1"/>
      <c r="D300" s="1"/>
    </row>
    <row r="301" ht="13.5" customHeight="1">
      <c r="A301" s="1"/>
      <c r="B301" s="1"/>
      <c r="C301" s="1"/>
      <c r="D301" s="1"/>
    </row>
    <row r="302" ht="13.5" customHeight="1">
      <c r="A302" s="1"/>
      <c r="B302" s="1"/>
      <c r="C302" s="1"/>
      <c r="D302" s="1"/>
    </row>
    <row r="303" ht="13.5" customHeight="1">
      <c r="A303" s="1"/>
      <c r="B303" s="1"/>
      <c r="C303" s="1"/>
      <c r="D303" s="1"/>
    </row>
    <row r="304" ht="13.5" customHeight="1">
      <c r="A304" s="1"/>
      <c r="B304" s="1"/>
      <c r="C304" s="1"/>
      <c r="D304" s="1"/>
    </row>
    <row r="305" ht="13.5" customHeight="1">
      <c r="A305" s="1"/>
      <c r="B305" s="1"/>
      <c r="C305" s="1"/>
      <c r="D305" s="1"/>
    </row>
    <row r="306" ht="13.5" customHeight="1">
      <c r="A306" s="1"/>
      <c r="B306" s="1"/>
      <c r="C306" s="1"/>
      <c r="D306" s="1"/>
    </row>
    <row r="307" ht="13.5" customHeight="1">
      <c r="A307" s="1"/>
      <c r="B307" s="1"/>
      <c r="C307" s="1"/>
      <c r="D307" s="1"/>
    </row>
    <row r="308" ht="13.5" customHeight="1">
      <c r="A308" s="1"/>
      <c r="B308" s="1"/>
      <c r="C308" s="1"/>
      <c r="D308" s="1"/>
    </row>
    <row r="309" ht="13.5" customHeight="1">
      <c r="A309" s="1"/>
      <c r="B309" s="1"/>
      <c r="C309" s="1"/>
      <c r="D309" s="1"/>
    </row>
    <row r="310" ht="13.5" customHeight="1">
      <c r="A310" s="1"/>
      <c r="B310" s="1"/>
      <c r="C310" s="1"/>
      <c r="D310" s="1"/>
    </row>
    <row r="311" ht="13.5" customHeight="1">
      <c r="A311" s="1"/>
      <c r="B311" s="1"/>
      <c r="C311" s="1"/>
      <c r="D311" s="1"/>
    </row>
    <row r="312" ht="13.5" customHeight="1">
      <c r="A312" s="1"/>
      <c r="B312" s="1"/>
      <c r="C312" s="1"/>
      <c r="D312" s="1"/>
    </row>
    <row r="313" ht="13.5" customHeight="1">
      <c r="A313" s="1"/>
      <c r="B313" s="1"/>
      <c r="C313" s="1"/>
      <c r="D313" s="1"/>
    </row>
    <row r="314" ht="13.5" customHeight="1">
      <c r="A314" s="1"/>
      <c r="B314" s="1"/>
      <c r="C314" s="1"/>
      <c r="D314" s="1"/>
    </row>
    <row r="315" ht="13.5" customHeight="1">
      <c r="A315" s="1"/>
      <c r="B315" s="1"/>
      <c r="C315" s="1"/>
      <c r="D315" s="1"/>
    </row>
    <row r="316" ht="13.5" customHeight="1">
      <c r="A316" s="1"/>
      <c r="B316" s="1"/>
      <c r="C316" s="1"/>
      <c r="D316" s="1"/>
    </row>
    <row r="317" ht="13.5" customHeight="1">
      <c r="A317" s="1"/>
      <c r="B317" s="1"/>
      <c r="C317" s="1"/>
      <c r="D317" s="1"/>
    </row>
    <row r="318" ht="13.5" customHeight="1">
      <c r="A318" s="1"/>
      <c r="B318" s="1"/>
      <c r="C318" s="1"/>
      <c r="D318" s="1"/>
    </row>
    <row r="319" ht="13.5" customHeight="1">
      <c r="A319" s="1"/>
      <c r="B319" s="1"/>
      <c r="C319" s="1"/>
      <c r="D319" s="1"/>
    </row>
    <row r="320" ht="13.5" customHeight="1">
      <c r="A320" s="1"/>
      <c r="B320" s="1"/>
      <c r="C320" s="1"/>
      <c r="D320" s="1"/>
    </row>
    <row r="321" ht="13.5" customHeight="1">
      <c r="A321" s="1"/>
      <c r="B321" s="1"/>
      <c r="C321" s="1"/>
      <c r="D321" s="1"/>
    </row>
    <row r="322" ht="13.5" customHeight="1">
      <c r="A322" s="1"/>
      <c r="B322" s="1"/>
      <c r="C322" s="1"/>
      <c r="D322" s="1"/>
    </row>
    <row r="323" ht="13.5" customHeight="1">
      <c r="A323" s="1"/>
      <c r="B323" s="1"/>
      <c r="C323" s="1"/>
      <c r="D323" s="1"/>
    </row>
    <row r="324" ht="13.5" customHeight="1">
      <c r="A324" s="1"/>
      <c r="B324" s="1"/>
      <c r="C324" s="1"/>
      <c r="D324" s="1"/>
    </row>
    <row r="325" ht="13.5" customHeight="1">
      <c r="A325" s="1"/>
      <c r="B325" s="1"/>
      <c r="C325" s="1"/>
      <c r="D325" s="1"/>
    </row>
    <row r="326" ht="13.5" customHeight="1">
      <c r="A326" s="1"/>
      <c r="B326" s="1"/>
      <c r="C326" s="1"/>
      <c r="D326" s="1"/>
    </row>
    <row r="327" ht="13.5" customHeight="1">
      <c r="A327" s="1"/>
      <c r="B327" s="1"/>
      <c r="C327" s="1"/>
      <c r="D327" s="1"/>
    </row>
    <row r="328" ht="13.5" customHeight="1">
      <c r="A328" s="1"/>
      <c r="B328" s="1"/>
      <c r="C328" s="1"/>
      <c r="D328" s="1"/>
    </row>
    <row r="329" ht="13.5" customHeight="1">
      <c r="A329" s="1"/>
      <c r="B329" s="1"/>
      <c r="C329" s="1"/>
      <c r="D329" s="1"/>
    </row>
    <row r="330" ht="13.5" customHeight="1">
      <c r="A330" s="1"/>
      <c r="B330" s="1"/>
      <c r="C330" s="1"/>
      <c r="D330" s="1"/>
    </row>
    <row r="331" ht="13.5" customHeight="1">
      <c r="A331" s="1"/>
      <c r="B331" s="1"/>
      <c r="C331" s="1"/>
      <c r="D331" s="1"/>
    </row>
    <row r="332" ht="13.5" customHeight="1">
      <c r="A332" s="1"/>
      <c r="B332" s="1"/>
      <c r="C332" s="1"/>
      <c r="D332" s="1"/>
    </row>
    <row r="333" ht="13.5" customHeight="1">
      <c r="A333" s="1"/>
      <c r="B333" s="1"/>
      <c r="C333" s="1"/>
      <c r="D333" s="1"/>
    </row>
    <row r="334" ht="13.5" customHeight="1">
      <c r="A334" s="1"/>
      <c r="B334" s="1"/>
      <c r="C334" s="1"/>
      <c r="D334" s="1"/>
    </row>
    <row r="335" ht="13.5" customHeight="1">
      <c r="A335" s="1"/>
      <c r="B335" s="1"/>
      <c r="C335" s="1"/>
      <c r="D335" s="1"/>
    </row>
    <row r="336" ht="13.5" customHeight="1">
      <c r="A336" s="1"/>
      <c r="B336" s="1"/>
      <c r="C336" s="1"/>
      <c r="D336" s="1"/>
    </row>
    <row r="337" ht="13.5" customHeight="1">
      <c r="A337" s="1"/>
      <c r="B337" s="1"/>
      <c r="C337" s="1"/>
      <c r="D337" s="1"/>
    </row>
    <row r="338" ht="13.5" customHeight="1">
      <c r="A338" s="1"/>
      <c r="B338" s="1"/>
      <c r="C338" s="1"/>
      <c r="D338" s="1"/>
    </row>
    <row r="339" ht="13.5" customHeight="1">
      <c r="A339" s="1"/>
      <c r="B339" s="1"/>
      <c r="C339" s="1"/>
      <c r="D339" s="1"/>
    </row>
    <row r="340" ht="13.5" customHeight="1">
      <c r="A340" s="1"/>
      <c r="B340" s="1"/>
      <c r="C340" s="1"/>
      <c r="D340" s="1"/>
    </row>
    <row r="341" ht="13.5" customHeight="1">
      <c r="A341" s="1"/>
      <c r="B341" s="1"/>
      <c r="C341" s="1"/>
      <c r="D341" s="1"/>
    </row>
    <row r="342" ht="13.5" customHeight="1">
      <c r="A342" s="1"/>
      <c r="B342" s="1"/>
      <c r="C342" s="1"/>
      <c r="D342" s="1"/>
    </row>
    <row r="343" ht="13.5" customHeight="1">
      <c r="A343" s="1"/>
      <c r="B343" s="1"/>
      <c r="C343" s="1"/>
      <c r="D343" s="1"/>
    </row>
    <row r="344" ht="13.5" customHeight="1">
      <c r="A344" s="1"/>
      <c r="B344" s="1"/>
      <c r="C344" s="1"/>
      <c r="D344" s="1"/>
    </row>
    <row r="345" ht="13.5" customHeight="1">
      <c r="A345" s="1"/>
      <c r="B345" s="1"/>
      <c r="C345" s="1"/>
      <c r="D345" s="1"/>
    </row>
    <row r="346" ht="13.5" customHeight="1">
      <c r="A346" s="1"/>
      <c r="B346" s="1"/>
      <c r="C346" s="1"/>
      <c r="D346" s="1"/>
    </row>
    <row r="347" ht="13.5" customHeight="1">
      <c r="A347" s="1"/>
      <c r="B347" s="1"/>
      <c r="C347" s="1"/>
      <c r="D347" s="1"/>
    </row>
    <row r="348" ht="13.5" customHeight="1">
      <c r="A348" s="1"/>
      <c r="B348" s="1"/>
      <c r="C348" s="1"/>
      <c r="D348" s="1"/>
    </row>
    <row r="349" ht="13.5" customHeight="1">
      <c r="A349" s="1"/>
      <c r="B349" s="1"/>
      <c r="C349" s="1"/>
      <c r="D349" s="1"/>
    </row>
    <row r="350" ht="13.5" customHeight="1">
      <c r="A350" s="1"/>
      <c r="B350" s="1"/>
      <c r="C350" s="1"/>
      <c r="D350" s="1"/>
    </row>
    <row r="351" ht="13.5" customHeight="1">
      <c r="A351" s="1"/>
      <c r="B351" s="1"/>
      <c r="C351" s="1"/>
      <c r="D351" s="1"/>
    </row>
    <row r="352" ht="13.5" customHeight="1">
      <c r="A352" s="1"/>
      <c r="B352" s="1"/>
      <c r="C352" s="1"/>
      <c r="D352" s="1"/>
    </row>
    <row r="353" ht="13.5" customHeight="1">
      <c r="A353" s="1"/>
      <c r="B353" s="1"/>
      <c r="C353" s="1"/>
      <c r="D353" s="1"/>
    </row>
    <row r="354" ht="13.5" customHeight="1">
      <c r="A354" s="1"/>
      <c r="B354" s="1"/>
      <c r="C354" s="1"/>
      <c r="D354" s="1"/>
    </row>
    <row r="355" ht="13.5" customHeight="1">
      <c r="A355" s="1"/>
      <c r="B355" s="1"/>
      <c r="C355" s="1"/>
      <c r="D355" s="1"/>
    </row>
    <row r="356" ht="13.5" customHeight="1">
      <c r="A356" s="1"/>
      <c r="B356" s="1"/>
      <c r="C356" s="1"/>
      <c r="D356" s="1"/>
    </row>
    <row r="357" ht="13.5" customHeight="1">
      <c r="A357" s="1"/>
      <c r="B357" s="1"/>
      <c r="C357" s="1"/>
      <c r="D357" s="1"/>
    </row>
    <row r="358" ht="13.5" customHeight="1">
      <c r="A358" s="1"/>
      <c r="B358" s="1"/>
      <c r="C358" s="1"/>
      <c r="D358" s="1"/>
    </row>
    <row r="359" ht="13.5" customHeight="1">
      <c r="A359" s="1"/>
      <c r="B359" s="1"/>
      <c r="C359" s="1"/>
      <c r="D359" s="1"/>
    </row>
    <row r="360" ht="13.5" customHeight="1">
      <c r="A360" s="1"/>
      <c r="B360" s="1"/>
      <c r="C360" s="1"/>
      <c r="D360" s="1"/>
    </row>
    <row r="361" ht="13.5" customHeight="1">
      <c r="A361" s="1"/>
      <c r="B361" s="1"/>
      <c r="C361" s="1"/>
      <c r="D361" s="1"/>
    </row>
    <row r="362" ht="13.5" customHeight="1">
      <c r="A362" s="1"/>
      <c r="B362" s="1"/>
      <c r="C362" s="1"/>
      <c r="D362" s="1"/>
    </row>
    <row r="363" ht="13.5" customHeight="1">
      <c r="A363" s="1"/>
      <c r="B363" s="1"/>
      <c r="C363" s="1"/>
      <c r="D363" s="1"/>
    </row>
    <row r="364" ht="13.5" customHeight="1">
      <c r="A364" s="1"/>
      <c r="B364" s="1"/>
      <c r="C364" s="1"/>
      <c r="D364" s="1"/>
    </row>
    <row r="365" ht="13.5" customHeight="1">
      <c r="A365" s="1"/>
      <c r="B365" s="1"/>
      <c r="C365" s="1"/>
      <c r="D365" s="1"/>
    </row>
    <row r="366" ht="13.5" customHeight="1">
      <c r="A366" s="1"/>
      <c r="B366" s="1"/>
      <c r="C366" s="1"/>
      <c r="D366" s="1"/>
    </row>
    <row r="367" ht="13.5" customHeight="1">
      <c r="A367" s="1"/>
      <c r="B367" s="1"/>
      <c r="C367" s="1"/>
      <c r="D367" s="1"/>
    </row>
    <row r="368" ht="13.5" customHeight="1">
      <c r="A368" s="1"/>
      <c r="B368" s="1"/>
      <c r="C368" s="1"/>
      <c r="D368" s="1"/>
    </row>
    <row r="369" ht="13.5" customHeight="1">
      <c r="A369" s="1"/>
      <c r="B369" s="1"/>
      <c r="C369" s="1"/>
      <c r="D369" s="1"/>
    </row>
    <row r="370" ht="13.5" customHeight="1">
      <c r="A370" s="1"/>
      <c r="B370" s="1"/>
      <c r="C370" s="1"/>
      <c r="D370" s="1"/>
    </row>
    <row r="371" ht="13.5" customHeight="1">
      <c r="A371" s="1"/>
      <c r="B371" s="1"/>
      <c r="C371" s="1"/>
      <c r="D371" s="1"/>
    </row>
    <row r="372" ht="13.5" customHeight="1">
      <c r="A372" s="1"/>
      <c r="B372" s="1"/>
      <c r="C372" s="1"/>
      <c r="D372" s="1"/>
    </row>
    <row r="373" ht="13.5" customHeight="1">
      <c r="A373" s="1"/>
      <c r="B373" s="1"/>
      <c r="C373" s="1"/>
      <c r="D373" s="1"/>
    </row>
    <row r="374" ht="13.5" customHeight="1">
      <c r="A374" s="1"/>
      <c r="B374" s="1"/>
      <c r="C374" s="1"/>
      <c r="D374" s="1"/>
    </row>
    <row r="375" ht="13.5" customHeight="1">
      <c r="A375" s="1"/>
      <c r="B375" s="1"/>
      <c r="C375" s="1"/>
      <c r="D375" s="1"/>
    </row>
    <row r="376" ht="13.5" customHeight="1">
      <c r="A376" s="1"/>
      <c r="B376" s="1"/>
      <c r="C376" s="1"/>
      <c r="D376" s="1"/>
    </row>
    <row r="377" ht="13.5" customHeight="1">
      <c r="A377" s="1"/>
      <c r="B377" s="1"/>
      <c r="C377" s="1"/>
      <c r="D377" s="1"/>
    </row>
    <row r="378" ht="13.5" customHeight="1">
      <c r="A378" s="1"/>
      <c r="B378" s="1"/>
      <c r="C378" s="1"/>
      <c r="D378" s="1"/>
    </row>
    <row r="379" ht="13.5" customHeight="1">
      <c r="A379" s="1"/>
      <c r="B379" s="1"/>
      <c r="C379" s="1"/>
      <c r="D379" s="1"/>
    </row>
    <row r="380" ht="13.5" customHeight="1">
      <c r="A380" s="1"/>
      <c r="B380" s="1"/>
      <c r="C380" s="1"/>
      <c r="D380" s="1"/>
    </row>
    <row r="381" ht="13.5" customHeight="1">
      <c r="A381" s="1"/>
      <c r="B381" s="1"/>
      <c r="C381" s="1"/>
      <c r="D381" s="1"/>
    </row>
    <row r="382" ht="13.5" customHeight="1">
      <c r="A382" s="1"/>
      <c r="B382" s="1"/>
      <c r="C382" s="1"/>
      <c r="D382" s="1"/>
    </row>
    <row r="383" ht="13.5" customHeight="1">
      <c r="A383" s="1"/>
      <c r="B383" s="1"/>
      <c r="C383" s="1"/>
      <c r="D383" s="1"/>
    </row>
    <row r="384" ht="13.5" customHeight="1">
      <c r="A384" s="1"/>
      <c r="B384" s="1"/>
      <c r="C384" s="1"/>
      <c r="D384" s="1"/>
    </row>
    <row r="385" ht="13.5" customHeight="1">
      <c r="A385" s="1"/>
      <c r="B385" s="1"/>
      <c r="C385" s="1"/>
      <c r="D385" s="1"/>
    </row>
    <row r="386" ht="13.5" customHeight="1">
      <c r="A386" s="1"/>
      <c r="B386" s="1"/>
      <c r="C386" s="1"/>
      <c r="D386" s="1"/>
    </row>
    <row r="387" ht="13.5" customHeight="1">
      <c r="A387" s="1"/>
      <c r="B387" s="1"/>
      <c r="C387" s="1"/>
      <c r="D387" s="1"/>
    </row>
    <row r="388" ht="13.5" customHeight="1">
      <c r="A388" s="1"/>
      <c r="B388" s="1"/>
      <c r="C388" s="1"/>
      <c r="D388" s="1"/>
    </row>
    <row r="389" ht="13.5" customHeight="1">
      <c r="A389" s="1"/>
      <c r="B389" s="1"/>
      <c r="C389" s="1"/>
      <c r="D389" s="1"/>
    </row>
    <row r="390" ht="13.5" customHeight="1">
      <c r="A390" s="1"/>
      <c r="B390" s="1"/>
      <c r="C390" s="1"/>
      <c r="D390" s="1"/>
    </row>
    <row r="391" ht="13.5" customHeight="1">
      <c r="A391" s="1"/>
      <c r="B391" s="1"/>
      <c r="C391" s="1"/>
      <c r="D391" s="1"/>
    </row>
    <row r="392" ht="13.5" customHeight="1">
      <c r="A392" s="1"/>
      <c r="B392" s="1"/>
      <c r="C392" s="1"/>
      <c r="D392" s="1"/>
    </row>
    <row r="393" ht="13.5" customHeight="1">
      <c r="A393" s="1"/>
      <c r="B393" s="1"/>
      <c r="C393" s="1"/>
      <c r="D393" s="1"/>
    </row>
    <row r="394" ht="13.5" customHeight="1">
      <c r="A394" s="1"/>
      <c r="B394" s="1"/>
      <c r="C394" s="1"/>
      <c r="D394" s="1"/>
    </row>
    <row r="395" ht="13.5" customHeight="1">
      <c r="A395" s="1"/>
      <c r="B395" s="1"/>
      <c r="C395" s="1"/>
      <c r="D395" s="1"/>
    </row>
    <row r="396" ht="13.5" customHeight="1">
      <c r="A396" s="1"/>
      <c r="B396" s="1"/>
      <c r="C396" s="1"/>
      <c r="D396" s="1"/>
    </row>
    <row r="397" ht="13.5" customHeight="1">
      <c r="A397" s="1"/>
      <c r="B397" s="1"/>
      <c r="C397" s="1"/>
      <c r="D397" s="1"/>
    </row>
    <row r="398" ht="13.5" customHeight="1">
      <c r="A398" s="1"/>
      <c r="B398" s="1"/>
      <c r="C398" s="1"/>
      <c r="D398" s="1"/>
    </row>
    <row r="399" ht="13.5" customHeight="1">
      <c r="A399" s="1"/>
      <c r="B399" s="1"/>
      <c r="C399" s="1"/>
      <c r="D399" s="1"/>
    </row>
    <row r="400" ht="13.5" customHeight="1">
      <c r="A400" s="1"/>
      <c r="B400" s="1"/>
      <c r="C400" s="1"/>
      <c r="D400" s="1"/>
    </row>
    <row r="401" ht="13.5" customHeight="1">
      <c r="A401" s="1"/>
      <c r="B401" s="1"/>
      <c r="C401" s="1"/>
      <c r="D401" s="1"/>
    </row>
    <row r="402" ht="13.5" customHeight="1">
      <c r="A402" s="1"/>
      <c r="B402" s="1"/>
      <c r="C402" s="1"/>
      <c r="D402" s="1"/>
    </row>
    <row r="403" ht="13.5" customHeight="1">
      <c r="A403" s="1"/>
      <c r="B403" s="1"/>
      <c r="C403" s="1"/>
      <c r="D403" s="1"/>
    </row>
    <row r="404" ht="13.5" customHeight="1">
      <c r="A404" s="1"/>
      <c r="B404" s="1"/>
      <c r="C404" s="1"/>
      <c r="D404" s="1"/>
    </row>
    <row r="405" ht="13.5" customHeight="1">
      <c r="A405" s="1"/>
      <c r="B405" s="1"/>
      <c r="C405" s="1"/>
      <c r="D405" s="1"/>
    </row>
    <row r="406" ht="13.5" customHeight="1">
      <c r="A406" s="1"/>
      <c r="B406" s="1"/>
      <c r="C406" s="1"/>
      <c r="D406" s="1"/>
    </row>
    <row r="407" ht="13.5" customHeight="1">
      <c r="A407" s="1"/>
      <c r="B407" s="1"/>
      <c r="C407" s="1"/>
      <c r="D407" s="1"/>
    </row>
    <row r="408" ht="13.5" customHeight="1">
      <c r="A408" s="1"/>
      <c r="B408" s="1"/>
      <c r="C408" s="1"/>
      <c r="D408" s="1"/>
    </row>
    <row r="409" ht="13.5" customHeight="1">
      <c r="A409" s="1"/>
      <c r="B409" s="1"/>
      <c r="C409" s="1"/>
      <c r="D409" s="1"/>
    </row>
    <row r="410" ht="13.5" customHeight="1">
      <c r="A410" s="1"/>
      <c r="B410" s="1"/>
      <c r="C410" s="1"/>
      <c r="D410" s="1"/>
    </row>
    <row r="411" ht="13.5" customHeight="1">
      <c r="A411" s="1"/>
      <c r="B411" s="1"/>
      <c r="C411" s="1"/>
      <c r="D411" s="1"/>
    </row>
    <row r="412" ht="13.5" customHeight="1">
      <c r="A412" s="1"/>
      <c r="B412" s="1"/>
      <c r="C412" s="1"/>
      <c r="D412" s="1"/>
    </row>
    <row r="413" ht="13.5" customHeight="1">
      <c r="A413" s="1"/>
      <c r="B413" s="1"/>
      <c r="C413" s="1"/>
      <c r="D413" s="1"/>
    </row>
    <row r="414" ht="13.5" customHeight="1">
      <c r="A414" s="1"/>
      <c r="B414" s="1"/>
      <c r="C414" s="1"/>
      <c r="D414" s="1"/>
    </row>
    <row r="415" ht="13.5" customHeight="1">
      <c r="A415" s="1"/>
      <c r="B415" s="1"/>
      <c r="C415" s="1"/>
      <c r="D415" s="1"/>
    </row>
    <row r="416" ht="13.5" customHeight="1">
      <c r="A416" s="1"/>
      <c r="B416" s="1"/>
      <c r="C416" s="1"/>
      <c r="D416" s="1"/>
    </row>
    <row r="417" ht="13.5" customHeight="1">
      <c r="A417" s="1"/>
      <c r="B417" s="1"/>
      <c r="C417" s="1"/>
      <c r="D417" s="1"/>
    </row>
    <row r="418" ht="13.5" customHeight="1">
      <c r="A418" s="1"/>
      <c r="B418" s="1"/>
      <c r="C418" s="1"/>
      <c r="D418" s="1"/>
    </row>
    <row r="419" ht="13.5" customHeight="1">
      <c r="A419" s="1"/>
      <c r="B419" s="1"/>
      <c r="C419" s="1"/>
      <c r="D419" s="1"/>
    </row>
    <row r="420" ht="13.5" customHeight="1">
      <c r="A420" s="1"/>
      <c r="B420" s="1"/>
      <c r="C420" s="1"/>
      <c r="D420" s="1"/>
    </row>
    <row r="421" ht="13.5" customHeight="1">
      <c r="A421" s="1"/>
      <c r="B421" s="1"/>
      <c r="C421" s="1"/>
      <c r="D421" s="1"/>
    </row>
    <row r="422" ht="13.5" customHeight="1">
      <c r="A422" s="1"/>
      <c r="B422" s="1"/>
      <c r="C422" s="1"/>
      <c r="D422" s="1"/>
    </row>
    <row r="423" ht="13.5" customHeight="1">
      <c r="A423" s="1"/>
      <c r="B423" s="1"/>
      <c r="C423" s="1"/>
      <c r="D423" s="1"/>
    </row>
    <row r="424" ht="13.5" customHeight="1">
      <c r="A424" s="1"/>
      <c r="B424" s="1"/>
      <c r="C424" s="1"/>
      <c r="D424" s="1"/>
    </row>
    <row r="425" ht="13.5" customHeight="1">
      <c r="A425" s="1"/>
      <c r="B425" s="1"/>
      <c r="C425" s="1"/>
      <c r="D425" s="1"/>
    </row>
    <row r="426" ht="13.5" customHeight="1">
      <c r="A426" s="1"/>
      <c r="B426" s="1"/>
      <c r="C426" s="1"/>
      <c r="D426" s="1"/>
    </row>
    <row r="427" ht="13.5" customHeight="1">
      <c r="A427" s="1"/>
      <c r="B427" s="1"/>
      <c r="C427" s="1"/>
      <c r="D427" s="1"/>
    </row>
    <row r="428" ht="13.5" customHeight="1">
      <c r="A428" s="1"/>
      <c r="B428" s="1"/>
      <c r="C428" s="1"/>
      <c r="D428" s="1"/>
    </row>
    <row r="429" ht="13.5" customHeight="1">
      <c r="A429" s="1"/>
      <c r="B429" s="1"/>
      <c r="C429" s="1"/>
      <c r="D429" s="1"/>
    </row>
    <row r="430" ht="13.5" customHeight="1">
      <c r="A430" s="1"/>
      <c r="B430" s="1"/>
      <c r="C430" s="1"/>
      <c r="D430" s="1"/>
    </row>
    <row r="431" ht="13.5" customHeight="1">
      <c r="A431" s="1"/>
      <c r="B431" s="1"/>
      <c r="C431" s="1"/>
      <c r="D431" s="1"/>
    </row>
    <row r="432" ht="13.5" customHeight="1">
      <c r="A432" s="1"/>
      <c r="B432" s="1"/>
      <c r="C432" s="1"/>
      <c r="D432" s="1"/>
    </row>
    <row r="433" ht="13.5" customHeight="1">
      <c r="A433" s="1"/>
      <c r="B433" s="1"/>
      <c r="C433" s="1"/>
      <c r="D433" s="1"/>
    </row>
    <row r="434" ht="13.5" customHeight="1">
      <c r="A434" s="1"/>
      <c r="B434" s="1"/>
      <c r="C434" s="1"/>
      <c r="D434" s="1"/>
    </row>
    <row r="435" ht="13.5" customHeight="1">
      <c r="A435" s="1"/>
      <c r="B435" s="1"/>
      <c r="C435" s="1"/>
      <c r="D435" s="1"/>
    </row>
    <row r="436" ht="13.5" customHeight="1">
      <c r="A436" s="1"/>
      <c r="B436" s="1"/>
      <c r="C436" s="1"/>
      <c r="D436" s="1"/>
    </row>
    <row r="437" ht="13.5" customHeight="1">
      <c r="A437" s="1"/>
      <c r="B437" s="1"/>
      <c r="C437" s="1"/>
      <c r="D437" s="1"/>
    </row>
    <row r="438" ht="13.5" customHeight="1">
      <c r="A438" s="1"/>
      <c r="B438" s="1"/>
      <c r="C438" s="1"/>
      <c r="D438" s="1"/>
    </row>
    <row r="439" ht="13.5" customHeight="1">
      <c r="A439" s="1"/>
      <c r="B439" s="1"/>
      <c r="C439" s="1"/>
      <c r="D439" s="1"/>
    </row>
    <row r="440" ht="13.5" customHeight="1">
      <c r="A440" s="1"/>
      <c r="B440" s="1"/>
      <c r="C440" s="1"/>
      <c r="D440" s="1"/>
    </row>
    <row r="441" ht="13.5" customHeight="1">
      <c r="A441" s="1"/>
      <c r="B441" s="1"/>
      <c r="C441" s="1"/>
      <c r="D441" s="1"/>
    </row>
    <row r="442" ht="13.5" customHeight="1">
      <c r="A442" s="1"/>
      <c r="B442" s="1"/>
      <c r="C442" s="1"/>
      <c r="D442" s="1"/>
    </row>
    <row r="443" ht="13.5" customHeight="1">
      <c r="A443" s="1"/>
      <c r="B443" s="1"/>
      <c r="C443" s="1"/>
      <c r="D443" s="1"/>
    </row>
    <row r="444" ht="13.5" customHeight="1">
      <c r="A444" s="1"/>
      <c r="B444" s="1"/>
      <c r="C444" s="1"/>
      <c r="D444" s="1"/>
    </row>
    <row r="445" ht="13.5" customHeight="1">
      <c r="A445" s="1"/>
      <c r="B445" s="1"/>
      <c r="C445" s="1"/>
      <c r="D445" s="1"/>
    </row>
    <row r="446" ht="13.5" customHeight="1">
      <c r="A446" s="1"/>
      <c r="B446" s="1"/>
      <c r="C446" s="1"/>
      <c r="D446" s="1"/>
    </row>
    <row r="447" ht="13.5" customHeight="1">
      <c r="A447" s="1"/>
      <c r="B447" s="1"/>
      <c r="C447" s="1"/>
      <c r="D447" s="1"/>
    </row>
    <row r="448" ht="13.5" customHeight="1">
      <c r="A448" s="1"/>
      <c r="B448" s="1"/>
      <c r="C448" s="1"/>
      <c r="D448" s="1"/>
    </row>
    <row r="449" ht="13.5" customHeight="1">
      <c r="A449" s="1"/>
      <c r="B449" s="1"/>
      <c r="C449" s="1"/>
      <c r="D449" s="1"/>
    </row>
    <row r="450" ht="13.5" customHeight="1">
      <c r="A450" s="1"/>
      <c r="B450" s="1"/>
      <c r="C450" s="1"/>
      <c r="D450" s="1"/>
    </row>
    <row r="451" ht="13.5" customHeight="1">
      <c r="A451" s="1"/>
      <c r="B451" s="1"/>
      <c r="C451" s="1"/>
      <c r="D451" s="1"/>
    </row>
    <row r="452" ht="13.5" customHeight="1">
      <c r="A452" s="1"/>
      <c r="B452" s="1"/>
      <c r="C452" s="1"/>
      <c r="D452" s="1"/>
    </row>
    <row r="453" ht="13.5" customHeight="1">
      <c r="A453" s="1"/>
      <c r="B453" s="1"/>
      <c r="C453" s="1"/>
      <c r="D453" s="1"/>
    </row>
    <row r="454" ht="13.5" customHeight="1">
      <c r="A454" s="1"/>
      <c r="B454" s="1"/>
      <c r="C454" s="1"/>
      <c r="D454" s="1"/>
    </row>
    <row r="455" ht="13.5" customHeight="1">
      <c r="A455" s="1"/>
      <c r="B455" s="1"/>
      <c r="C455" s="1"/>
      <c r="D455" s="1"/>
    </row>
    <row r="456" ht="13.5" customHeight="1">
      <c r="A456" s="1"/>
      <c r="B456" s="1"/>
      <c r="C456" s="1"/>
      <c r="D456" s="1"/>
    </row>
    <row r="457" ht="13.5" customHeight="1">
      <c r="A457" s="1"/>
      <c r="B457" s="1"/>
      <c r="C457" s="1"/>
      <c r="D457" s="1"/>
    </row>
    <row r="458" ht="13.5" customHeight="1">
      <c r="A458" s="1"/>
      <c r="B458" s="1"/>
      <c r="C458" s="1"/>
      <c r="D458" s="1"/>
    </row>
    <row r="459" ht="13.5" customHeight="1">
      <c r="A459" s="1"/>
      <c r="B459" s="1"/>
      <c r="C459" s="1"/>
      <c r="D459" s="1"/>
    </row>
    <row r="460" ht="13.5" customHeight="1">
      <c r="A460" s="1"/>
      <c r="B460" s="1"/>
      <c r="C460" s="1"/>
      <c r="D460" s="1"/>
    </row>
    <row r="461" ht="13.5" customHeight="1">
      <c r="A461" s="1"/>
      <c r="B461" s="1"/>
      <c r="C461" s="1"/>
      <c r="D461" s="1"/>
    </row>
    <row r="462" ht="13.5" customHeight="1">
      <c r="A462" s="1"/>
      <c r="B462" s="1"/>
      <c r="C462" s="1"/>
      <c r="D462" s="1"/>
    </row>
    <row r="463" ht="13.5" customHeight="1">
      <c r="A463" s="1"/>
      <c r="B463" s="1"/>
      <c r="C463" s="1"/>
      <c r="D463" s="1"/>
    </row>
    <row r="464" ht="13.5" customHeight="1">
      <c r="A464" s="1"/>
      <c r="B464" s="1"/>
      <c r="C464" s="1"/>
      <c r="D464" s="1"/>
    </row>
    <row r="465" ht="13.5" customHeight="1">
      <c r="A465" s="1"/>
      <c r="B465" s="1"/>
      <c r="C465" s="1"/>
      <c r="D465" s="1"/>
    </row>
    <row r="466" ht="13.5" customHeight="1">
      <c r="A466" s="1"/>
      <c r="B466" s="1"/>
      <c r="C466" s="1"/>
      <c r="D466" s="1"/>
    </row>
    <row r="467" ht="13.5" customHeight="1">
      <c r="A467" s="1"/>
      <c r="B467" s="1"/>
      <c r="C467" s="1"/>
      <c r="D467" s="1"/>
    </row>
    <row r="468" ht="13.5" customHeight="1">
      <c r="A468" s="1"/>
      <c r="B468" s="1"/>
      <c r="C468" s="1"/>
      <c r="D468" s="1"/>
    </row>
    <row r="469" ht="13.5" customHeight="1">
      <c r="A469" s="1"/>
      <c r="B469" s="1"/>
      <c r="C469" s="1"/>
      <c r="D469" s="1"/>
    </row>
    <row r="470" ht="13.5" customHeight="1">
      <c r="A470" s="1"/>
      <c r="B470" s="1"/>
      <c r="C470" s="1"/>
      <c r="D470" s="1"/>
    </row>
    <row r="471" ht="13.5" customHeight="1">
      <c r="A471" s="1"/>
      <c r="B471" s="1"/>
      <c r="C471" s="1"/>
      <c r="D471" s="1"/>
    </row>
    <row r="472" ht="13.5" customHeight="1">
      <c r="A472" s="1"/>
      <c r="B472" s="1"/>
      <c r="C472" s="1"/>
      <c r="D472" s="1"/>
    </row>
    <row r="473" ht="13.5" customHeight="1">
      <c r="A473" s="1"/>
      <c r="B473" s="1"/>
      <c r="C473" s="1"/>
      <c r="D473" s="1"/>
    </row>
    <row r="474" ht="13.5" customHeight="1">
      <c r="A474" s="1"/>
      <c r="B474" s="1"/>
      <c r="C474" s="1"/>
      <c r="D474" s="1"/>
    </row>
    <row r="475" ht="13.5" customHeight="1">
      <c r="A475" s="1"/>
      <c r="B475" s="1"/>
      <c r="C475" s="1"/>
      <c r="D475" s="1"/>
    </row>
    <row r="476" ht="13.5" customHeight="1">
      <c r="A476" s="1"/>
      <c r="B476" s="1"/>
      <c r="C476" s="1"/>
      <c r="D476" s="1"/>
    </row>
    <row r="477" ht="13.5" customHeight="1">
      <c r="A477" s="1"/>
      <c r="B477" s="1"/>
      <c r="C477" s="1"/>
      <c r="D477" s="1"/>
    </row>
    <row r="478" ht="13.5" customHeight="1">
      <c r="A478" s="1"/>
      <c r="B478" s="1"/>
      <c r="C478" s="1"/>
      <c r="D478" s="1"/>
    </row>
    <row r="479" ht="13.5" customHeight="1">
      <c r="A479" s="1"/>
      <c r="B479" s="1"/>
      <c r="C479" s="1"/>
      <c r="D479" s="1"/>
    </row>
    <row r="480" ht="13.5" customHeight="1">
      <c r="A480" s="1"/>
      <c r="B480" s="1"/>
      <c r="C480" s="1"/>
      <c r="D480" s="1"/>
    </row>
    <row r="481" ht="13.5" customHeight="1">
      <c r="A481" s="1"/>
      <c r="B481" s="1"/>
      <c r="C481" s="1"/>
      <c r="D481" s="1"/>
    </row>
    <row r="482" ht="13.5" customHeight="1">
      <c r="A482" s="1"/>
      <c r="B482" s="1"/>
      <c r="C482" s="1"/>
      <c r="D482" s="1"/>
    </row>
    <row r="483" ht="13.5" customHeight="1">
      <c r="A483" s="1"/>
      <c r="B483" s="1"/>
      <c r="C483" s="1"/>
      <c r="D483" s="1"/>
    </row>
    <row r="484" ht="13.5" customHeight="1">
      <c r="A484" s="1"/>
      <c r="B484" s="1"/>
      <c r="C484" s="1"/>
      <c r="D484" s="1"/>
    </row>
    <row r="485" ht="13.5" customHeight="1">
      <c r="A485" s="1"/>
      <c r="B485" s="1"/>
      <c r="C485" s="1"/>
      <c r="D485" s="1"/>
    </row>
    <row r="486" ht="13.5" customHeight="1">
      <c r="A486" s="1"/>
      <c r="B486" s="1"/>
      <c r="C486" s="1"/>
      <c r="D486" s="1"/>
    </row>
    <row r="487" ht="13.5" customHeight="1">
      <c r="A487" s="1"/>
      <c r="B487" s="1"/>
      <c r="C487" s="1"/>
      <c r="D487" s="1"/>
    </row>
    <row r="488" ht="13.5" customHeight="1">
      <c r="A488" s="1"/>
      <c r="B488" s="1"/>
      <c r="C488" s="1"/>
      <c r="D488" s="1"/>
    </row>
    <row r="489" ht="13.5" customHeight="1">
      <c r="A489" s="1"/>
      <c r="B489" s="1"/>
      <c r="C489" s="1"/>
      <c r="D489" s="1"/>
    </row>
    <row r="490" ht="13.5" customHeight="1">
      <c r="A490" s="1"/>
      <c r="B490" s="1"/>
      <c r="C490" s="1"/>
      <c r="D490" s="1"/>
    </row>
    <row r="491" ht="13.5" customHeight="1">
      <c r="A491" s="1"/>
      <c r="B491" s="1"/>
      <c r="C491" s="1"/>
      <c r="D491" s="1"/>
    </row>
    <row r="492" ht="13.5" customHeight="1">
      <c r="A492" s="1"/>
      <c r="B492" s="1"/>
      <c r="C492" s="1"/>
      <c r="D492" s="1"/>
    </row>
    <row r="493" ht="13.5" customHeight="1">
      <c r="A493" s="1"/>
      <c r="B493" s="1"/>
      <c r="C493" s="1"/>
      <c r="D493" s="1"/>
    </row>
    <row r="494" ht="13.5" customHeight="1">
      <c r="A494" s="1"/>
      <c r="B494" s="1"/>
      <c r="C494" s="1"/>
      <c r="D494" s="1"/>
    </row>
    <row r="495" ht="13.5" customHeight="1">
      <c r="A495" s="1"/>
      <c r="B495" s="1"/>
      <c r="C495" s="1"/>
      <c r="D495" s="1"/>
    </row>
    <row r="496" ht="13.5" customHeight="1">
      <c r="A496" s="1"/>
      <c r="B496" s="1"/>
      <c r="C496" s="1"/>
      <c r="D496" s="1"/>
    </row>
    <row r="497" ht="13.5" customHeight="1">
      <c r="A497" s="1"/>
      <c r="B497" s="1"/>
      <c r="C497" s="1"/>
      <c r="D497" s="1"/>
    </row>
    <row r="498" ht="13.5" customHeight="1">
      <c r="A498" s="1"/>
      <c r="B498" s="1"/>
      <c r="C498" s="1"/>
      <c r="D498" s="1"/>
    </row>
    <row r="499" ht="13.5" customHeight="1">
      <c r="A499" s="1"/>
      <c r="B499" s="1"/>
      <c r="C499" s="1"/>
      <c r="D499" s="1"/>
    </row>
    <row r="500" ht="13.5" customHeight="1">
      <c r="A500" s="1"/>
      <c r="B500" s="1"/>
      <c r="C500" s="1"/>
      <c r="D500" s="1"/>
    </row>
    <row r="501" ht="13.5" customHeight="1">
      <c r="A501" s="1"/>
      <c r="B501" s="1"/>
      <c r="C501" s="1"/>
      <c r="D501" s="1"/>
    </row>
    <row r="502" ht="13.5" customHeight="1">
      <c r="A502" s="1"/>
      <c r="B502" s="1"/>
      <c r="C502" s="1"/>
      <c r="D502" s="1"/>
    </row>
    <row r="503" ht="13.5" customHeight="1">
      <c r="A503" s="1"/>
      <c r="B503" s="1"/>
      <c r="C503" s="1"/>
      <c r="D503" s="1"/>
    </row>
    <row r="504" ht="13.5" customHeight="1">
      <c r="A504" s="1"/>
      <c r="B504" s="1"/>
      <c r="C504" s="1"/>
      <c r="D504" s="1"/>
    </row>
    <row r="505" ht="13.5" customHeight="1">
      <c r="A505" s="1"/>
      <c r="B505" s="1"/>
      <c r="C505" s="1"/>
      <c r="D505" s="1"/>
    </row>
    <row r="506" ht="13.5" customHeight="1">
      <c r="A506" s="1"/>
      <c r="B506" s="1"/>
      <c r="C506" s="1"/>
      <c r="D506" s="1"/>
    </row>
    <row r="507" ht="13.5" customHeight="1">
      <c r="A507" s="1"/>
      <c r="B507" s="1"/>
      <c r="C507" s="1"/>
      <c r="D507" s="1"/>
    </row>
    <row r="508" ht="13.5" customHeight="1">
      <c r="A508" s="1"/>
      <c r="B508" s="1"/>
      <c r="C508" s="1"/>
      <c r="D508" s="1"/>
    </row>
    <row r="509" ht="13.5" customHeight="1">
      <c r="A509" s="1"/>
      <c r="B509" s="1"/>
      <c r="C509" s="1"/>
      <c r="D509" s="1"/>
    </row>
    <row r="510" ht="13.5" customHeight="1">
      <c r="A510" s="1"/>
      <c r="B510" s="1"/>
      <c r="C510" s="1"/>
      <c r="D510" s="1"/>
    </row>
    <row r="511" ht="13.5" customHeight="1">
      <c r="A511" s="1"/>
      <c r="B511" s="1"/>
      <c r="C511" s="1"/>
      <c r="D511" s="1"/>
    </row>
    <row r="512" ht="13.5" customHeight="1">
      <c r="A512" s="1"/>
      <c r="B512" s="1"/>
      <c r="C512" s="1"/>
      <c r="D512" s="1"/>
    </row>
    <row r="513" ht="13.5" customHeight="1">
      <c r="A513" s="1"/>
      <c r="B513" s="1"/>
      <c r="C513" s="1"/>
      <c r="D513" s="1"/>
    </row>
    <row r="514" ht="13.5" customHeight="1">
      <c r="A514" s="1"/>
      <c r="B514" s="1"/>
      <c r="C514" s="1"/>
      <c r="D514" s="1"/>
    </row>
    <row r="515" ht="13.5" customHeight="1">
      <c r="A515" s="1"/>
      <c r="B515" s="1"/>
      <c r="C515" s="1"/>
      <c r="D515" s="1"/>
    </row>
    <row r="516" ht="13.5" customHeight="1">
      <c r="A516" s="1"/>
      <c r="B516" s="1"/>
      <c r="C516" s="1"/>
      <c r="D516" s="1"/>
    </row>
    <row r="517" ht="13.5" customHeight="1">
      <c r="A517" s="1"/>
      <c r="B517" s="1"/>
      <c r="C517" s="1"/>
      <c r="D517" s="1"/>
    </row>
    <row r="518" ht="13.5" customHeight="1">
      <c r="A518" s="1"/>
      <c r="B518" s="1"/>
      <c r="C518" s="1"/>
      <c r="D518" s="1"/>
    </row>
    <row r="519" ht="13.5" customHeight="1">
      <c r="A519" s="1"/>
      <c r="B519" s="1"/>
      <c r="C519" s="1"/>
      <c r="D519" s="1"/>
    </row>
    <row r="520" ht="13.5" customHeight="1">
      <c r="A520" s="1"/>
      <c r="B520" s="1"/>
      <c r="C520" s="1"/>
      <c r="D520" s="1"/>
    </row>
    <row r="521" ht="13.5" customHeight="1">
      <c r="A521" s="1"/>
      <c r="B521" s="1"/>
      <c r="C521" s="1"/>
      <c r="D521" s="1"/>
    </row>
    <row r="522" ht="13.5" customHeight="1">
      <c r="A522" s="1"/>
      <c r="B522" s="1"/>
      <c r="C522" s="1"/>
      <c r="D522" s="1"/>
    </row>
    <row r="523" ht="13.5" customHeight="1">
      <c r="A523" s="1"/>
      <c r="B523" s="1"/>
      <c r="C523" s="1"/>
      <c r="D523" s="1"/>
    </row>
    <row r="524" ht="13.5" customHeight="1">
      <c r="A524" s="1"/>
      <c r="B524" s="1"/>
      <c r="C524" s="1"/>
      <c r="D524" s="1"/>
    </row>
    <row r="525" ht="13.5" customHeight="1">
      <c r="A525" s="1"/>
      <c r="B525" s="1"/>
      <c r="C525" s="1"/>
      <c r="D525" s="1"/>
    </row>
    <row r="526" ht="13.5" customHeight="1">
      <c r="A526" s="1"/>
      <c r="B526" s="1"/>
      <c r="C526" s="1"/>
      <c r="D526" s="1"/>
    </row>
    <row r="527" ht="13.5" customHeight="1">
      <c r="A527" s="1"/>
      <c r="B527" s="1"/>
      <c r="C527" s="1"/>
      <c r="D527" s="1"/>
    </row>
    <row r="528" ht="13.5" customHeight="1">
      <c r="A528" s="1"/>
      <c r="B528" s="1"/>
      <c r="C528" s="1"/>
      <c r="D528" s="1"/>
    </row>
    <row r="529" ht="13.5" customHeight="1">
      <c r="A529" s="1"/>
      <c r="B529" s="1"/>
      <c r="C529" s="1"/>
      <c r="D529" s="1"/>
    </row>
    <row r="530" ht="13.5" customHeight="1">
      <c r="A530" s="1"/>
      <c r="B530" s="1"/>
      <c r="C530" s="1"/>
      <c r="D530" s="1"/>
    </row>
    <row r="531" ht="13.5" customHeight="1">
      <c r="A531" s="1"/>
      <c r="B531" s="1"/>
      <c r="C531" s="1"/>
      <c r="D531" s="1"/>
    </row>
    <row r="532" ht="13.5" customHeight="1">
      <c r="A532" s="1"/>
      <c r="B532" s="1"/>
      <c r="C532" s="1"/>
      <c r="D532" s="1"/>
    </row>
    <row r="533" ht="13.5" customHeight="1">
      <c r="A533" s="1"/>
      <c r="B533" s="1"/>
      <c r="C533" s="1"/>
      <c r="D533" s="1"/>
    </row>
    <row r="534" ht="13.5" customHeight="1">
      <c r="A534" s="1"/>
      <c r="B534" s="1"/>
      <c r="C534" s="1"/>
      <c r="D534" s="1"/>
    </row>
    <row r="535" ht="13.5" customHeight="1">
      <c r="A535" s="1"/>
      <c r="B535" s="1"/>
      <c r="C535" s="1"/>
      <c r="D535" s="1"/>
    </row>
    <row r="536" ht="13.5" customHeight="1">
      <c r="A536" s="1"/>
      <c r="B536" s="1"/>
      <c r="C536" s="1"/>
      <c r="D536" s="1"/>
    </row>
    <row r="537" ht="13.5" customHeight="1">
      <c r="A537" s="1"/>
      <c r="B537" s="1"/>
      <c r="C537" s="1"/>
      <c r="D537" s="1"/>
    </row>
    <row r="538" ht="13.5" customHeight="1">
      <c r="A538" s="1"/>
      <c r="B538" s="1"/>
      <c r="C538" s="1"/>
      <c r="D538" s="1"/>
    </row>
    <row r="539" ht="13.5" customHeight="1">
      <c r="A539" s="1"/>
      <c r="B539" s="1"/>
      <c r="C539" s="1"/>
      <c r="D539" s="1"/>
    </row>
    <row r="540" ht="13.5" customHeight="1">
      <c r="A540" s="1"/>
      <c r="B540" s="1"/>
      <c r="C540" s="1"/>
      <c r="D540" s="1"/>
    </row>
    <row r="541" ht="13.5" customHeight="1">
      <c r="A541" s="1"/>
      <c r="B541" s="1"/>
      <c r="C541" s="1"/>
      <c r="D541" s="1"/>
    </row>
    <row r="542" ht="13.5" customHeight="1">
      <c r="A542" s="1"/>
      <c r="B542" s="1"/>
      <c r="C542" s="1"/>
      <c r="D542" s="1"/>
    </row>
    <row r="543" ht="13.5" customHeight="1">
      <c r="A543" s="1"/>
      <c r="B543" s="1"/>
      <c r="C543" s="1"/>
      <c r="D543" s="1"/>
    </row>
    <row r="544" ht="13.5" customHeight="1">
      <c r="A544" s="1"/>
      <c r="B544" s="1"/>
      <c r="C544" s="1"/>
      <c r="D544" s="1"/>
    </row>
    <row r="545" ht="13.5" customHeight="1">
      <c r="A545" s="1"/>
      <c r="B545" s="1"/>
      <c r="C545" s="1"/>
      <c r="D545" s="1"/>
    </row>
    <row r="546" ht="13.5" customHeight="1">
      <c r="A546" s="1"/>
      <c r="B546" s="1"/>
      <c r="C546" s="1"/>
      <c r="D546" s="1"/>
    </row>
    <row r="547" ht="13.5" customHeight="1">
      <c r="A547" s="1"/>
      <c r="B547" s="1"/>
      <c r="C547" s="1"/>
      <c r="D547" s="1"/>
    </row>
    <row r="548" ht="13.5" customHeight="1">
      <c r="A548" s="1"/>
      <c r="B548" s="1"/>
      <c r="C548" s="1"/>
      <c r="D548" s="1"/>
    </row>
    <row r="549" ht="13.5" customHeight="1">
      <c r="A549" s="1"/>
      <c r="B549" s="1"/>
      <c r="C549" s="1"/>
      <c r="D549" s="1"/>
    </row>
    <row r="550" ht="13.5" customHeight="1">
      <c r="A550" s="1"/>
      <c r="B550" s="1"/>
      <c r="C550" s="1"/>
      <c r="D550" s="1"/>
    </row>
    <row r="551" ht="13.5" customHeight="1">
      <c r="A551" s="1"/>
      <c r="B551" s="1"/>
      <c r="C551" s="1"/>
      <c r="D551" s="1"/>
    </row>
    <row r="552" ht="13.5" customHeight="1">
      <c r="A552" s="1"/>
      <c r="B552" s="1"/>
      <c r="C552" s="1"/>
      <c r="D552" s="1"/>
    </row>
    <row r="553" ht="13.5" customHeight="1">
      <c r="A553" s="1"/>
      <c r="B553" s="1"/>
      <c r="C553" s="1"/>
      <c r="D553" s="1"/>
    </row>
    <row r="554" ht="13.5" customHeight="1">
      <c r="A554" s="1"/>
      <c r="B554" s="1"/>
      <c r="C554" s="1"/>
      <c r="D554" s="1"/>
    </row>
    <row r="555" ht="13.5" customHeight="1">
      <c r="A555" s="1"/>
      <c r="B555" s="1"/>
      <c r="C555" s="1"/>
      <c r="D555" s="1"/>
    </row>
    <row r="556" ht="13.5" customHeight="1">
      <c r="A556" s="1"/>
      <c r="B556" s="1"/>
      <c r="C556" s="1"/>
      <c r="D556" s="1"/>
    </row>
    <row r="557" ht="13.5" customHeight="1">
      <c r="A557" s="1"/>
      <c r="B557" s="1"/>
      <c r="C557" s="1"/>
      <c r="D557" s="1"/>
    </row>
    <row r="558" ht="13.5" customHeight="1">
      <c r="A558" s="1"/>
      <c r="B558" s="1"/>
      <c r="C558" s="1"/>
      <c r="D558" s="1"/>
    </row>
    <row r="559" ht="13.5" customHeight="1">
      <c r="A559" s="1"/>
      <c r="B559" s="1"/>
      <c r="C559" s="1"/>
      <c r="D559" s="1"/>
    </row>
    <row r="560" ht="13.5" customHeight="1">
      <c r="A560" s="1"/>
      <c r="B560" s="1"/>
      <c r="C560" s="1"/>
      <c r="D560" s="1"/>
    </row>
    <row r="561" ht="13.5" customHeight="1">
      <c r="A561" s="1"/>
      <c r="B561" s="1"/>
      <c r="C561" s="1"/>
      <c r="D561" s="1"/>
    </row>
    <row r="562" ht="13.5" customHeight="1">
      <c r="A562" s="1"/>
      <c r="B562" s="1"/>
      <c r="C562" s="1"/>
      <c r="D562" s="1"/>
    </row>
    <row r="563" ht="13.5" customHeight="1">
      <c r="A563" s="1"/>
      <c r="B563" s="1"/>
      <c r="C563" s="1"/>
      <c r="D563" s="1"/>
    </row>
    <row r="564" ht="13.5" customHeight="1">
      <c r="A564" s="1"/>
      <c r="B564" s="1"/>
      <c r="C564" s="1"/>
      <c r="D564" s="1"/>
    </row>
    <row r="565" ht="13.5" customHeight="1">
      <c r="A565" s="1"/>
      <c r="B565" s="1"/>
      <c r="C565" s="1"/>
      <c r="D565" s="1"/>
    </row>
    <row r="566" ht="13.5" customHeight="1">
      <c r="A566" s="1"/>
      <c r="B566" s="1"/>
      <c r="C566" s="1"/>
      <c r="D566" s="1"/>
    </row>
    <row r="567" ht="13.5" customHeight="1">
      <c r="A567" s="1"/>
      <c r="B567" s="1"/>
      <c r="C567" s="1"/>
      <c r="D567" s="1"/>
    </row>
    <row r="568" ht="13.5" customHeight="1">
      <c r="A568" s="1"/>
      <c r="B568" s="1"/>
      <c r="C568" s="1"/>
      <c r="D568" s="1"/>
    </row>
    <row r="569" ht="13.5" customHeight="1">
      <c r="A569" s="1"/>
      <c r="B569" s="1"/>
      <c r="C569" s="1"/>
      <c r="D569" s="1"/>
    </row>
    <row r="570" ht="13.5" customHeight="1">
      <c r="A570" s="1"/>
      <c r="B570" s="1"/>
      <c r="C570" s="1"/>
      <c r="D570" s="1"/>
    </row>
    <row r="571" ht="13.5" customHeight="1">
      <c r="A571" s="1"/>
      <c r="B571" s="1"/>
      <c r="C571" s="1"/>
      <c r="D571" s="1"/>
    </row>
    <row r="572" ht="13.5" customHeight="1">
      <c r="A572" s="1"/>
      <c r="B572" s="1"/>
      <c r="C572" s="1"/>
      <c r="D572" s="1"/>
    </row>
    <row r="573" ht="13.5" customHeight="1">
      <c r="A573" s="1"/>
      <c r="B573" s="1"/>
      <c r="C573" s="1"/>
      <c r="D573" s="1"/>
    </row>
    <row r="574" ht="13.5" customHeight="1">
      <c r="A574" s="1"/>
      <c r="B574" s="1"/>
      <c r="C574" s="1"/>
      <c r="D574" s="1"/>
    </row>
    <row r="575" ht="13.5" customHeight="1">
      <c r="A575" s="1"/>
      <c r="B575" s="1"/>
      <c r="C575" s="1"/>
      <c r="D575" s="1"/>
    </row>
    <row r="576" ht="13.5" customHeight="1">
      <c r="A576" s="1"/>
      <c r="B576" s="1"/>
      <c r="C576" s="1"/>
      <c r="D576" s="1"/>
    </row>
    <row r="577" ht="13.5" customHeight="1">
      <c r="A577" s="1"/>
      <c r="B577" s="1"/>
      <c r="C577" s="1"/>
      <c r="D577" s="1"/>
    </row>
    <row r="578" ht="13.5" customHeight="1">
      <c r="A578" s="1"/>
      <c r="B578" s="1"/>
      <c r="C578" s="1"/>
      <c r="D578" s="1"/>
    </row>
    <row r="579" ht="13.5" customHeight="1">
      <c r="A579" s="1"/>
      <c r="B579" s="1"/>
      <c r="C579" s="1"/>
      <c r="D579" s="1"/>
    </row>
    <row r="580" ht="13.5" customHeight="1">
      <c r="A580" s="1"/>
      <c r="B580" s="1"/>
      <c r="C580" s="1"/>
      <c r="D580" s="1"/>
    </row>
    <row r="581" ht="13.5" customHeight="1">
      <c r="A581" s="1"/>
      <c r="B581" s="1"/>
      <c r="C581" s="1"/>
      <c r="D581" s="1"/>
    </row>
    <row r="582" ht="13.5" customHeight="1">
      <c r="A582" s="1"/>
      <c r="B582" s="1"/>
      <c r="C582" s="1"/>
      <c r="D582" s="1"/>
    </row>
    <row r="583" ht="13.5" customHeight="1">
      <c r="A583" s="1"/>
      <c r="B583" s="1"/>
      <c r="C583" s="1"/>
      <c r="D583" s="1"/>
    </row>
    <row r="584" ht="13.5" customHeight="1">
      <c r="A584" s="1"/>
      <c r="B584" s="1"/>
      <c r="C584" s="1"/>
      <c r="D584" s="1"/>
    </row>
    <row r="585" ht="13.5" customHeight="1">
      <c r="A585" s="1"/>
      <c r="B585" s="1"/>
      <c r="C585" s="1"/>
      <c r="D585" s="1"/>
    </row>
    <row r="586" ht="13.5" customHeight="1">
      <c r="A586" s="1"/>
      <c r="B586" s="1"/>
      <c r="C586" s="1"/>
      <c r="D586" s="1"/>
    </row>
    <row r="587" ht="13.5" customHeight="1">
      <c r="A587" s="1"/>
      <c r="B587" s="1"/>
      <c r="C587" s="1"/>
      <c r="D587" s="1"/>
    </row>
    <row r="588" ht="13.5" customHeight="1">
      <c r="A588" s="1"/>
      <c r="B588" s="1"/>
      <c r="C588" s="1"/>
      <c r="D588" s="1"/>
    </row>
    <row r="589" ht="13.5" customHeight="1">
      <c r="A589" s="1"/>
      <c r="B589" s="1"/>
      <c r="C589" s="1"/>
      <c r="D589" s="1"/>
    </row>
    <row r="590" ht="13.5" customHeight="1">
      <c r="A590" s="1"/>
      <c r="B590" s="1"/>
      <c r="C590" s="1"/>
      <c r="D590" s="1"/>
    </row>
    <row r="591" ht="13.5" customHeight="1">
      <c r="A591" s="1"/>
      <c r="B591" s="1"/>
      <c r="C591" s="1"/>
      <c r="D591" s="1"/>
    </row>
    <row r="592" ht="13.5" customHeight="1">
      <c r="A592" s="1"/>
      <c r="B592" s="1"/>
      <c r="C592" s="1"/>
      <c r="D592" s="1"/>
    </row>
    <row r="593" ht="13.5" customHeight="1">
      <c r="A593" s="1"/>
      <c r="B593" s="1"/>
      <c r="C593" s="1"/>
      <c r="D593" s="1"/>
    </row>
    <row r="594" ht="13.5" customHeight="1">
      <c r="A594" s="1"/>
      <c r="B594" s="1"/>
      <c r="C594" s="1"/>
      <c r="D594" s="1"/>
    </row>
    <row r="595" ht="13.5" customHeight="1">
      <c r="A595" s="1"/>
      <c r="B595" s="1"/>
      <c r="C595" s="1"/>
      <c r="D595" s="1"/>
    </row>
    <row r="596" ht="13.5" customHeight="1">
      <c r="A596" s="1"/>
      <c r="B596" s="1"/>
      <c r="C596" s="1"/>
      <c r="D596" s="1"/>
    </row>
    <row r="597" ht="13.5" customHeight="1">
      <c r="A597" s="1"/>
      <c r="B597" s="1"/>
      <c r="C597" s="1"/>
      <c r="D597" s="1"/>
    </row>
    <row r="598" ht="13.5" customHeight="1">
      <c r="A598" s="1"/>
      <c r="B598" s="1"/>
      <c r="C598" s="1"/>
      <c r="D598" s="1"/>
    </row>
    <row r="599" ht="13.5" customHeight="1">
      <c r="A599" s="1"/>
      <c r="B599" s="1"/>
      <c r="C599" s="1"/>
      <c r="D599" s="1"/>
    </row>
    <row r="600" ht="13.5" customHeight="1">
      <c r="A600" s="1"/>
      <c r="B600" s="1"/>
      <c r="C600" s="1"/>
      <c r="D600" s="1"/>
    </row>
    <row r="601" ht="13.5" customHeight="1">
      <c r="A601" s="1"/>
      <c r="B601" s="1"/>
      <c r="C601" s="1"/>
      <c r="D601" s="1"/>
    </row>
    <row r="602" ht="13.5" customHeight="1">
      <c r="A602" s="1"/>
      <c r="B602" s="1"/>
      <c r="C602" s="1"/>
      <c r="D602" s="1"/>
    </row>
    <row r="603" ht="13.5" customHeight="1">
      <c r="A603" s="1"/>
      <c r="B603" s="1"/>
      <c r="C603" s="1"/>
      <c r="D603" s="1"/>
    </row>
    <row r="604" ht="13.5" customHeight="1">
      <c r="A604" s="1"/>
      <c r="B604" s="1"/>
      <c r="C604" s="1"/>
      <c r="D604" s="1"/>
    </row>
    <row r="605" ht="13.5" customHeight="1">
      <c r="A605" s="1"/>
      <c r="B605" s="1"/>
      <c r="C605" s="1"/>
      <c r="D605" s="1"/>
    </row>
    <row r="606" ht="13.5" customHeight="1">
      <c r="A606" s="1"/>
      <c r="B606" s="1"/>
      <c r="C606" s="1"/>
      <c r="D606" s="1"/>
    </row>
    <row r="607" ht="13.5" customHeight="1">
      <c r="A607" s="1"/>
      <c r="B607" s="1"/>
      <c r="C607" s="1"/>
      <c r="D607" s="1"/>
    </row>
    <row r="608" ht="13.5" customHeight="1">
      <c r="A608" s="1"/>
      <c r="B608" s="1"/>
      <c r="C608" s="1"/>
      <c r="D608" s="1"/>
    </row>
    <row r="609" ht="13.5" customHeight="1">
      <c r="A609" s="1"/>
      <c r="B609" s="1"/>
      <c r="C609" s="1"/>
      <c r="D609" s="1"/>
    </row>
    <row r="610" ht="13.5" customHeight="1">
      <c r="A610" s="1"/>
      <c r="B610" s="1"/>
      <c r="C610" s="1"/>
      <c r="D610" s="1"/>
    </row>
    <row r="611" ht="13.5" customHeight="1">
      <c r="A611" s="1"/>
      <c r="B611" s="1"/>
      <c r="C611" s="1"/>
      <c r="D611" s="1"/>
    </row>
    <row r="612" ht="13.5" customHeight="1">
      <c r="A612" s="1"/>
      <c r="B612" s="1"/>
      <c r="C612" s="1"/>
      <c r="D612" s="1"/>
    </row>
    <row r="613" ht="13.5" customHeight="1">
      <c r="A613" s="1"/>
      <c r="B613" s="1"/>
      <c r="C613" s="1"/>
      <c r="D613" s="1"/>
    </row>
    <row r="614" ht="13.5" customHeight="1">
      <c r="A614" s="1"/>
      <c r="B614" s="1"/>
      <c r="C614" s="1"/>
      <c r="D614" s="1"/>
    </row>
    <row r="615" ht="13.5" customHeight="1">
      <c r="A615" s="1"/>
      <c r="B615" s="1"/>
      <c r="C615" s="1"/>
      <c r="D615" s="1"/>
    </row>
    <row r="616" ht="13.5" customHeight="1">
      <c r="A616" s="1"/>
      <c r="B616" s="1"/>
      <c r="C616" s="1"/>
      <c r="D616" s="1"/>
    </row>
    <row r="617" ht="13.5" customHeight="1">
      <c r="A617" s="1"/>
      <c r="B617" s="1"/>
      <c r="C617" s="1"/>
      <c r="D617" s="1"/>
    </row>
    <row r="618" ht="13.5" customHeight="1">
      <c r="A618" s="1"/>
      <c r="B618" s="1"/>
      <c r="C618" s="1"/>
      <c r="D618" s="1"/>
    </row>
    <row r="619" ht="13.5" customHeight="1">
      <c r="A619" s="1"/>
      <c r="B619" s="1"/>
      <c r="C619" s="1"/>
      <c r="D619" s="1"/>
    </row>
    <row r="620" ht="13.5" customHeight="1">
      <c r="A620" s="1"/>
      <c r="B620" s="1"/>
      <c r="C620" s="1"/>
      <c r="D620" s="1"/>
    </row>
    <row r="621" ht="13.5" customHeight="1">
      <c r="A621" s="1"/>
      <c r="B621" s="1"/>
      <c r="C621" s="1"/>
      <c r="D621" s="1"/>
    </row>
    <row r="622" ht="13.5" customHeight="1">
      <c r="A622" s="1"/>
      <c r="B622" s="1"/>
      <c r="C622" s="1"/>
      <c r="D622" s="1"/>
    </row>
    <row r="623" ht="13.5" customHeight="1">
      <c r="A623" s="1"/>
      <c r="B623" s="1"/>
      <c r="C623" s="1"/>
      <c r="D623" s="1"/>
    </row>
    <row r="624" ht="13.5" customHeight="1">
      <c r="A624" s="1"/>
      <c r="B624" s="1"/>
      <c r="C624" s="1"/>
      <c r="D624" s="1"/>
    </row>
    <row r="625" ht="13.5" customHeight="1">
      <c r="A625" s="1"/>
      <c r="B625" s="1"/>
      <c r="C625" s="1"/>
      <c r="D625" s="1"/>
    </row>
    <row r="626" ht="13.5" customHeight="1">
      <c r="A626" s="1"/>
      <c r="B626" s="1"/>
      <c r="C626" s="1"/>
      <c r="D626" s="1"/>
    </row>
    <row r="627" ht="13.5" customHeight="1">
      <c r="A627" s="1"/>
      <c r="B627" s="1"/>
      <c r="C627" s="1"/>
      <c r="D627" s="1"/>
    </row>
    <row r="628" ht="13.5" customHeight="1">
      <c r="A628" s="1"/>
      <c r="B628" s="1"/>
      <c r="C628" s="1"/>
      <c r="D628" s="1"/>
    </row>
    <row r="629" ht="13.5" customHeight="1">
      <c r="A629" s="1"/>
      <c r="B629" s="1"/>
      <c r="C629" s="1"/>
      <c r="D629" s="1"/>
    </row>
    <row r="630" ht="13.5" customHeight="1">
      <c r="A630" s="1"/>
      <c r="B630" s="1"/>
      <c r="C630" s="1"/>
      <c r="D630" s="1"/>
    </row>
    <row r="631" ht="13.5" customHeight="1">
      <c r="A631" s="1"/>
      <c r="B631" s="1"/>
      <c r="C631" s="1"/>
      <c r="D631" s="1"/>
    </row>
    <row r="632" ht="13.5" customHeight="1">
      <c r="A632" s="1"/>
      <c r="B632" s="1"/>
      <c r="C632" s="1"/>
      <c r="D632" s="1"/>
    </row>
    <row r="633" ht="13.5" customHeight="1">
      <c r="A633" s="1"/>
      <c r="B633" s="1"/>
      <c r="C633" s="1"/>
      <c r="D633" s="1"/>
    </row>
    <row r="634" ht="13.5" customHeight="1">
      <c r="A634" s="1"/>
      <c r="B634" s="1"/>
      <c r="C634" s="1"/>
      <c r="D634" s="1"/>
    </row>
    <row r="635" ht="13.5" customHeight="1">
      <c r="A635" s="1"/>
      <c r="B635" s="1"/>
      <c r="C635" s="1"/>
      <c r="D635" s="1"/>
    </row>
    <row r="636" ht="13.5" customHeight="1">
      <c r="A636" s="1"/>
      <c r="B636" s="1"/>
      <c r="C636" s="1"/>
      <c r="D636" s="1"/>
    </row>
    <row r="637" ht="13.5" customHeight="1">
      <c r="A637" s="1"/>
      <c r="B637" s="1"/>
      <c r="C637" s="1"/>
      <c r="D637" s="1"/>
    </row>
    <row r="638" ht="13.5" customHeight="1">
      <c r="A638" s="1"/>
      <c r="B638" s="1"/>
      <c r="C638" s="1"/>
      <c r="D638" s="1"/>
    </row>
    <row r="639" ht="13.5" customHeight="1">
      <c r="A639" s="1"/>
      <c r="B639" s="1"/>
      <c r="C639" s="1"/>
      <c r="D639" s="1"/>
    </row>
    <row r="640" ht="13.5" customHeight="1">
      <c r="A640" s="1"/>
      <c r="B640" s="1"/>
      <c r="C640" s="1"/>
      <c r="D640" s="1"/>
    </row>
    <row r="641" ht="13.5" customHeight="1">
      <c r="A641" s="1"/>
      <c r="B641" s="1"/>
      <c r="C641" s="1"/>
      <c r="D641" s="1"/>
    </row>
    <row r="642" ht="13.5" customHeight="1">
      <c r="A642" s="1"/>
      <c r="B642" s="1"/>
      <c r="C642" s="1"/>
      <c r="D642" s="1"/>
    </row>
    <row r="643" ht="13.5" customHeight="1">
      <c r="A643" s="1"/>
      <c r="B643" s="1"/>
      <c r="C643" s="1"/>
      <c r="D643" s="1"/>
    </row>
    <row r="644" ht="13.5" customHeight="1">
      <c r="A644" s="1"/>
      <c r="B644" s="1"/>
      <c r="C644" s="1"/>
      <c r="D644" s="1"/>
    </row>
    <row r="645" ht="13.5" customHeight="1">
      <c r="A645" s="1"/>
      <c r="B645" s="1"/>
      <c r="C645" s="1"/>
      <c r="D645" s="1"/>
    </row>
    <row r="646" ht="13.5" customHeight="1">
      <c r="A646" s="1"/>
      <c r="B646" s="1"/>
      <c r="C646" s="1"/>
      <c r="D646" s="1"/>
    </row>
    <row r="647" ht="13.5" customHeight="1">
      <c r="A647" s="1"/>
      <c r="B647" s="1"/>
      <c r="C647" s="1"/>
      <c r="D647" s="1"/>
    </row>
    <row r="648" ht="13.5" customHeight="1">
      <c r="A648" s="1"/>
      <c r="B648" s="1"/>
      <c r="C648" s="1"/>
      <c r="D648" s="1"/>
    </row>
    <row r="649" ht="13.5" customHeight="1">
      <c r="A649" s="1"/>
      <c r="B649" s="1"/>
      <c r="C649" s="1"/>
      <c r="D649" s="1"/>
    </row>
    <row r="650" ht="13.5" customHeight="1">
      <c r="A650" s="1"/>
      <c r="B650" s="1"/>
      <c r="C650" s="1"/>
      <c r="D650" s="1"/>
    </row>
    <row r="651" ht="13.5" customHeight="1">
      <c r="A651" s="1"/>
      <c r="B651" s="1"/>
      <c r="C651" s="1"/>
      <c r="D651" s="1"/>
    </row>
    <row r="652" ht="13.5" customHeight="1">
      <c r="A652" s="1"/>
      <c r="B652" s="1"/>
      <c r="C652" s="1"/>
      <c r="D652" s="1"/>
    </row>
    <row r="653" ht="13.5" customHeight="1">
      <c r="A653" s="1"/>
      <c r="B653" s="1"/>
      <c r="C653" s="1"/>
      <c r="D653" s="1"/>
    </row>
    <row r="654" ht="13.5" customHeight="1">
      <c r="A654" s="1"/>
      <c r="B654" s="1"/>
      <c r="C654" s="1"/>
      <c r="D654" s="1"/>
    </row>
    <row r="655" ht="13.5" customHeight="1">
      <c r="A655" s="1"/>
      <c r="B655" s="1"/>
      <c r="C655" s="1"/>
      <c r="D655" s="1"/>
    </row>
    <row r="656" ht="13.5" customHeight="1">
      <c r="A656" s="1"/>
      <c r="B656" s="1"/>
      <c r="C656" s="1"/>
      <c r="D656" s="1"/>
    </row>
    <row r="657" ht="13.5" customHeight="1">
      <c r="A657" s="1"/>
      <c r="B657" s="1"/>
      <c r="C657" s="1"/>
      <c r="D657" s="1"/>
    </row>
    <row r="658" ht="13.5" customHeight="1">
      <c r="A658" s="1"/>
      <c r="B658" s="1"/>
      <c r="C658" s="1"/>
      <c r="D658" s="1"/>
    </row>
    <row r="659" ht="13.5" customHeight="1">
      <c r="A659" s="1"/>
      <c r="B659" s="1"/>
      <c r="C659" s="1"/>
      <c r="D659" s="1"/>
    </row>
    <row r="660" ht="13.5" customHeight="1">
      <c r="A660" s="1"/>
      <c r="B660" s="1"/>
      <c r="C660" s="1"/>
      <c r="D660" s="1"/>
    </row>
    <row r="661" ht="13.5" customHeight="1">
      <c r="A661" s="1"/>
      <c r="B661" s="1"/>
      <c r="C661" s="1"/>
      <c r="D661" s="1"/>
    </row>
    <row r="662" ht="13.5" customHeight="1">
      <c r="A662" s="1"/>
      <c r="B662" s="1"/>
      <c r="C662" s="1"/>
      <c r="D662" s="1"/>
    </row>
    <row r="663" ht="13.5" customHeight="1">
      <c r="A663" s="1"/>
      <c r="B663" s="1"/>
      <c r="C663" s="1"/>
      <c r="D663" s="1"/>
    </row>
    <row r="664" ht="13.5" customHeight="1">
      <c r="A664" s="1"/>
      <c r="B664" s="1"/>
      <c r="C664" s="1"/>
      <c r="D664" s="1"/>
    </row>
    <row r="665" ht="13.5" customHeight="1">
      <c r="A665" s="1"/>
      <c r="B665" s="1"/>
      <c r="C665" s="1"/>
      <c r="D665" s="1"/>
    </row>
    <row r="666" ht="13.5" customHeight="1">
      <c r="A666" s="1"/>
      <c r="B666" s="1"/>
      <c r="C666" s="1"/>
      <c r="D666" s="1"/>
    </row>
    <row r="667" ht="13.5" customHeight="1">
      <c r="A667" s="1"/>
      <c r="B667" s="1"/>
      <c r="C667" s="1"/>
      <c r="D667" s="1"/>
    </row>
    <row r="668" ht="13.5" customHeight="1">
      <c r="A668" s="1"/>
      <c r="B668" s="1"/>
      <c r="C668" s="1"/>
      <c r="D668" s="1"/>
    </row>
    <row r="669" ht="13.5" customHeight="1">
      <c r="A669" s="1"/>
      <c r="B669" s="1"/>
      <c r="C669" s="1"/>
      <c r="D669" s="1"/>
    </row>
    <row r="670" ht="13.5" customHeight="1">
      <c r="A670" s="1"/>
      <c r="B670" s="1"/>
      <c r="C670" s="1"/>
      <c r="D670" s="1"/>
    </row>
    <row r="671" ht="13.5" customHeight="1">
      <c r="A671" s="1"/>
      <c r="B671" s="1"/>
      <c r="C671" s="1"/>
      <c r="D671" s="1"/>
    </row>
    <row r="672" ht="13.5" customHeight="1">
      <c r="A672" s="1"/>
      <c r="B672" s="1"/>
      <c r="C672" s="1"/>
      <c r="D672" s="1"/>
    </row>
    <row r="673" ht="13.5" customHeight="1">
      <c r="A673" s="1"/>
      <c r="B673" s="1"/>
      <c r="C673" s="1"/>
      <c r="D673" s="1"/>
    </row>
    <row r="674" ht="13.5" customHeight="1">
      <c r="A674" s="1"/>
      <c r="B674" s="1"/>
      <c r="C674" s="1"/>
      <c r="D674" s="1"/>
    </row>
    <row r="675" ht="13.5" customHeight="1">
      <c r="A675" s="1"/>
      <c r="B675" s="1"/>
      <c r="C675" s="1"/>
      <c r="D675" s="1"/>
    </row>
    <row r="676" ht="13.5" customHeight="1">
      <c r="A676" s="1"/>
      <c r="B676" s="1"/>
      <c r="C676" s="1"/>
      <c r="D676" s="1"/>
    </row>
    <row r="677" ht="13.5" customHeight="1">
      <c r="A677" s="1"/>
      <c r="B677" s="1"/>
      <c r="C677" s="1"/>
      <c r="D677" s="1"/>
    </row>
    <row r="678" ht="13.5" customHeight="1">
      <c r="A678" s="1"/>
      <c r="B678" s="1"/>
      <c r="C678" s="1"/>
      <c r="D678" s="1"/>
    </row>
    <row r="679" ht="13.5" customHeight="1">
      <c r="A679" s="1"/>
      <c r="B679" s="1"/>
      <c r="C679" s="1"/>
      <c r="D679" s="1"/>
    </row>
    <row r="680" ht="13.5" customHeight="1">
      <c r="A680" s="1"/>
      <c r="B680" s="1"/>
      <c r="C680" s="1"/>
      <c r="D680" s="1"/>
    </row>
    <row r="681" ht="13.5" customHeight="1">
      <c r="A681" s="1"/>
      <c r="B681" s="1"/>
      <c r="C681" s="1"/>
      <c r="D681" s="1"/>
    </row>
    <row r="682" ht="13.5" customHeight="1">
      <c r="A682" s="1"/>
      <c r="B682" s="1"/>
      <c r="C682" s="1"/>
      <c r="D682" s="1"/>
    </row>
    <row r="683" ht="13.5" customHeight="1">
      <c r="A683" s="1"/>
      <c r="B683" s="1"/>
      <c r="C683" s="1"/>
      <c r="D683" s="1"/>
    </row>
    <row r="684" ht="13.5" customHeight="1">
      <c r="A684" s="1"/>
      <c r="B684" s="1"/>
      <c r="C684" s="1"/>
      <c r="D684" s="1"/>
    </row>
    <row r="685" ht="13.5" customHeight="1">
      <c r="A685" s="1"/>
      <c r="B685" s="1"/>
      <c r="C685" s="1"/>
      <c r="D685" s="1"/>
    </row>
    <row r="686" ht="13.5" customHeight="1">
      <c r="A686" s="1"/>
      <c r="B686" s="1"/>
      <c r="C686" s="1"/>
      <c r="D686" s="1"/>
    </row>
    <row r="687" ht="13.5" customHeight="1">
      <c r="A687" s="1"/>
      <c r="B687" s="1"/>
      <c r="C687" s="1"/>
      <c r="D687" s="1"/>
    </row>
    <row r="688" ht="13.5" customHeight="1">
      <c r="A688" s="1"/>
      <c r="B688" s="1"/>
      <c r="C688" s="1"/>
      <c r="D688" s="1"/>
    </row>
    <row r="689" ht="13.5" customHeight="1">
      <c r="A689" s="1"/>
      <c r="B689" s="1"/>
      <c r="C689" s="1"/>
      <c r="D689" s="1"/>
    </row>
    <row r="690" ht="13.5" customHeight="1">
      <c r="A690" s="1"/>
      <c r="B690" s="1"/>
      <c r="C690" s="1"/>
      <c r="D690" s="1"/>
    </row>
    <row r="691" ht="13.5" customHeight="1">
      <c r="A691" s="1"/>
      <c r="B691" s="1"/>
      <c r="C691" s="1"/>
      <c r="D691" s="1"/>
    </row>
    <row r="692" ht="13.5" customHeight="1">
      <c r="A692" s="1"/>
      <c r="B692" s="1"/>
      <c r="C692" s="1"/>
      <c r="D692" s="1"/>
    </row>
    <row r="693" ht="13.5" customHeight="1">
      <c r="A693" s="1"/>
      <c r="B693" s="1"/>
      <c r="C693" s="1"/>
      <c r="D693" s="1"/>
    </row>
    <row r="694" ht="13.5" customHeight="1">
      <c r="A694" s="1"/>
      <c r="B694" s="1"/>
      <c r="C694" s="1"/>
      <c r="D694" s="1"/>
    </row>
    <row r="695" ht="13.5" customHeight="1">
      <c r="A695" s="1"/>
      <c r="B695" s="1"/>
      <c r="C695" s="1"/>
      <c r="D695" s="1"/>
    </row>
    <row r="696" ht="13.5" customHeight="1">
      <c r="A696" s="1"/>
      <c r="B696" s="1"/>
      <c r="C696" s="1"/>
      <c r="D696" s="1"/>
    </row>
    <row r="697" ht="13.5" customHeight="1">
      <c r="A697" s="1"/>
      <c r="B697" s="1"/>
      <c r="C697" s="1"/>
      <c r="D697" s="1"/>
    </row>
    <row r="698" ht="13.5" customHeight="1">
      <c r="A698" s="1"/>
      <c r="B698" s="1"/>
      <c r="C698" s="1"/>
      <c r="D698" s="1"/>
    </row>
    <row r="699" ht="13.5" customHeight="1">
      <c r="A699" s="1"/>
      <c r="B699" s="1"/>
      <c r="C699" s="1"/>
      <c r="D699" s="1"/>
    </row>
    <row r="700" ht="13.5" customHeight="1">
      <c r="A700" s="1"/>
      <c r="B700" s="1"/>
      <c r="C700" s="1"/>
      <c r="D700" s="1"/>
    </row>
    <row r="701" ht="13.5" customHeight="1">
      <c r="A701" s="1"/>
      <c r="B701" s="1"/>
      <c r="C701" s="1"/>
      <c r="D701" s="1"/>
    </row>
    <row r="702" ht="13.5" customHeight="1">
      <c r="A702" s="1"/>
      <c r="B702" s="1"/>
      <c r="C702" s="1"/>
      <c r="D702" s="1"/>
    </row>
    <row r="703" ht="13.5" customHeight="1">
      <c r="A703" s="1"/>
      <c r="B703" s="1"/>
      <c r="C703" s="1"/>
      <c r="D703" s="1"/>
    </row>
    <row r="704" ht="13.5" customHeight="1">
      <c r="A704" s="1"/>
      <c r="B704" s="1"/>
      <c r="C704" s="1"/>
      <c r="D704" s="1"/>
    </row>
    <row r="705" ht="13.5" customHeight="1">
      <c r="A705" s="1"/>
      <c r="B705" s="1"/>
      <c r="C705" s="1"/>
      <c r="D705" s="1"/>
    </row>
    <row r="706" ht="13.5" customHeight="1">
      <c r="A706" s="1"/>
      <c r="B706" s="1"/>
      <c r="C706" s="1"/>
      <c r="D706" s="1"/>
    </row>
    <row r="707" ht="13.5" customHeight="1">
      <c r="A707" s="1"/>
      <c r="B707" s="1"/>
      <c r="C707" s="1"/>
      <c r="D707" s="1"/>
    </row>
    <row r="708" ht="13.5" customHeight="1">
      <c r="A708" s="1"/>
      <c r="B708" s="1"/>
      <c r="C708" s="1"/>
      <c r="D708" s="1"/>
    </row>
    <row r="709" ht="13.5" customHeight="1">
      <c r="A709" s="1"/>
      <c r="B709" s="1"/>
      <c r="C709" s="1"/>
      <c r="D709" s="1"/>
    </row>
    <row r="710" ht="13.5" customHeight="1">
      <c r="A710" s="1"/>
      <c r="B710" s="1"/>
      <c r="C710" s="1"/>
      <c r="D710" s="1"/>
    </row>
    <row r="711" ht="13.5" customHeight="1">
      <c r="A711" s="1"/>
      <c r="B711" s="1"/>
      <c r="C711" s="1"/>
      <c r="D711" s="1"/>
    </row>
    <row r="712" ht="13.5" customHeight="1">
      <c r="A712" s="1"/>
      <c r="B712" s="1"/>
      <c r="C712" s="1"/>
      <c r="D712" s="1"/>
    </row>
    <row r="713" ht="13.5" customHeight="1">
      <c r="A713" s="1"/>
      <c r="B713" s="1"/>
      <c r="C713" s="1"/>
      <c r="D713" s="1"/>
    </row>
    <row r="714" ht="13.5" customHeight="1">
      <c r="A714" s="1"/>
      <c r="B714" s="1"/>
      <c r="C714" s="1"/>
      <c r="D714" s="1"/>
    </row>
    <row r="715" ht="13.5" customHeight="1">
      <c r="A715" s="1"/>
      <c r="B715" s="1"/>
      <c r="C715" s="1"/>
      <c r="D715" s="1"/>
    </row>
    <row r="716" ht="13.5" customHeight="1">
      <c r="A716" s="1"/>
      <c r="B716" s="1"/>
      <c r="C716" s="1"/>
      <c r="D716" s="1"/>
    </row>
    <row r="717" ht="13.5" customHeight="1">
      <c r="A717" s="1"/>
      <c r="B717" s="1"/>
      <c r="C717" s="1"/>
      <c r="D717" s="1"/>
    </row>
    <row r="718" ht="13.5" customHeight="1">
      <c r="A718" s="1"/>
      <c r="B718" s="1"/>
      <c r="C718" s="1"/>
      <c r="D718" s="1"/>
    </row>
    <row r="719" ht="13.5" customHeight="1">
      <c r="A719" s="1"/>
      <c r="B719" s="1"/>
      <c r="C719" s="1"/>
      <c r="D719" s="1"/>
    </row>
    <row r="720" ht="13.5" customHeight="1">
      <c r="A720" s="1"/>
      <c r="B720" s="1"/>
      <c r="C720" s="1"/>
      <c r="D720" s="1"/>
    </row>
    <row r="721" ht="13.5" customHeight="1">
      <c r="A721" s="1"/>
      <c r="B721" s="1"/>
      <c r="C721" s="1"/>
      <c r="D721" s="1"/>
    </row>
    <row r="722" ht="13.5" customHeight="1">
      <c r="A722" s="1"/>
      <c r="B722" s="1"/>
      <c r="C722" s="1"/>
      <c r="D722" s="1"/>
    </row>
    <row r="723" ht="13.5" customHeight="1">
      <c r="A723" s="1"/>
      <c r="B723" s="1"/>
      <c r="C723" s="1"/>
      <c r="D723" s="1"/>
    </row>
    <row r="724" ht="13.5" customHeight="1">
      <c r="A724" s="1"/>
      <c r="B724" s="1"/>
      <c r="C724" s="1"/>
      <c r="D724" s="1"/>
    </row>
    <row r="725" ht="13.5" customHeight="1">
      <c r="A725" s="1"/>
      <c r="B725" s="1"/>
      <c r="C725" s="1"/>
      <c r="D725" s="1"/>
    </row>
    <row r="726" ht="13.5" customHeight="1">
      <c r="A726" s="1"/>
      <c r="B726" s="1"/>
      <c r="C726" s="1"/>
      <c r="D726" s="1"/>
    </row>
    <row r="727" ht="13.5" customHeight="1">
      <c r="A727" s="1"/>
      <c r="B727" s="1"/>
      <c r="C727" s="1"/>
      <c r="D727" s="1"/>
    </row>
    <row r="728" ht="13.5" customHeight="1">
      <c r="A728" s="1"/>
      <c r="B728" s="1"/>
      <c r="C728" s="1"/>
      <c r="D728" s="1"/>
    </row>
    <row r="729" ht="13.5" customHeight="1">
      <c r="A729" s="1"/>
      <c r="B729" s="1"/>
      <c r="C729" s="1"/>
      <c r="D729" s="1"/>
    </row>
    <row r="730" ht="13.5" customHeight="1">
      <c r="A730" s="1"/>
      <c r="B730" s="1"/>
      <c r="C730" s="1"/>
      <c r="D730" s="1"/>
    </row>
    <row r="731" ht="13.5" customHeight="1">
      <c r="A731" s="1"/>
      <c r="B731" s="1"/>
      <c r="C731" s="1"/>
      <c r="D731" s="1"/>
    </row>
    <row r="732" ht="13.5" customHeight="1">
      <c r="A732" s="1"/>
      <c r="B732" s="1"/>
      <c r="C732" s="1"/>
      <c r="D732" s="1"/>
    </row>
    <row r="733" ht="13.5" customHeight="1">
      <c r="A733" s="1"/>
      <c r="B733" s="1"/>
      <c r="C733" s="1"/>
      <c r="D733" s="1"/>
    </row>
    <row r="734" ht="13.5" customHeight="1">
      <c r="A734" s="1"/>
      <c r="B734" s="1"/>
      <c r="C734" s="1"/>
      <c r="D734" s="1"/>
    </row>
    <row r="735" ht="13.5" customHeight="1">
      <c r="A735" s="1"/>
      <c r="B735" s="1"/>
      <c r="C735" s="1"/>
      <c r="D735" s="1"/>
    </row>
    <row r="736" ht="13.5" customHeight="1">
      <c r="A736" s="1"/>
      <c r="B736" s="1"/>
      <c r="C736" s="1"/>
      <c r="D736" s="1"/>
    </row>
    <row r="737" ht="13.5" customHeight="1">
      <c r="A737" s="1"/>
      <c r="B737" s="1"/>
      <c r="C737" s="1"/>
      <c r="D737" s="1"/>
    </row>
    <row r="738" ht="13.5" customHeight="1">
      <c r="A738" s="1"/>
      <c r="B738" s="1"/>
      <c r="C738" s="1"/>
      <c r="D738" s="1"/>
    </row>
    <row r="739" ht="13.5" customHeight="1">
      <c r="A739" s="1"/>
      <c r="B739" s="1"/>
      <c r="C739" s="1"/>
      <c r="D739" s="1"/>
    </row>
    <row r="740" ht="13.5" customHeight="1">
      <c r="A740" s="1"/>
      <c r="B740" s="1"/>
      <c r="C740" s="1"/>
      <c r="D740" s="1"/>
    </row>
    <row r="741" ht="13.5" customHeight="1">
      <c r="A741" s="1"/>
      <c r="B741" s="1"/>
      <c r="C741" s="1"/>
      <c r="D741" s="1"/>
    </row>
    <row r="742" ht="13.5" customHeight="1">
      <c r="A742" s="1"/>
      <c r="B742" s="1"/>
      <c r="C742" s="1"/>
      <c r="D742" s="1"/>
    </row>
    <row r="743" ht="13.5" customHeight="1">
      <c r="A743" s="1"/>
      <c r="B743" s="1"/>
      <c r="C743" s="1"/>
      <c r="D743" s="1"/>
    </row>
    <row r="744" ht="13.5" customHeight="1">
      <c r="A744" s="1"/>
      <c r="B744" s="1"/>
      <c r="C744" s="1"/>
      <c r="D744" s="1"/>
    </row>
    <row r="745" ht="13.5" customHeight="1">
      <c r="A745" s="1"/>
      <c r="B745" s="1"/>
      <c r="C745" s="1"/>
      <c r="D745" s="1"/>
    </row>
    <row r="746" ht="13.5" customHeight="1">
      <c r="A746" s="1"/>
      <c r="B746" s="1"/>
      <c r="C746" s="1"/>
      <c r="D746" s="1"/>
    </row>
    <row r="747" ht="13.5" customHeight="1">
      <c r="A747" s="1"/>
      <c r="B747" s="1"/>
      <c r="C747" s="1"/>
      <c r="D747" s="1"/>
    </row>
    <row r="748" ht="13.5" customHeight="1">
      <c r="A748" s="1"/>
      <c r="B748" s="1"/>
      <c r="C748" s="1"/>
      <c r="D748" s="1"/>
    </row>
    <row r="749" ht="13.5" customHeight="1">
      <c r="A749" s="1"/>
      <c r="B749" s="1"/>
      <c r="C749" s="1"/>
      <c r="D749" s="1"/>
    </row>
    <row r="750" ht="13.5" customHeight="1">
      <c r="A750" s="1"/>
      <c r="B750" s="1"/>
      <c r="C750" s="1"/>
      <c r="D750" s="1"/>
    </row>
    <row r="751" ht="13.5" customHeight="1">
      <c r="A751" s="1"/>
      <c r="B751" s="1"/>
      <c r="C751" s="1"/>
      <c r="D751" s="1"/>
    </row>
    <row r="752" ht="13.5" customHeight="1">
      <c r="A752" s="1"/>
      <c r="B752" s="1"/>
      <c r="C752" s="1"/>
      <c r="D752" s="1"/>
    </row>
    <row r="753" ht="13.5" customHeight="1">
      <c r="A753" s="1"/>
      <c r="B753" s="1"/>
      <c r="C753" s="1"/>
      <c r="D753" s="1"/>
    </row>
    <row r="754" ht="13.5" customHeight="1">
      <c r="A754" s="1"/>
      <c r="B754" s="1"/>
      <c r="C754" s="1"/>
      <c r="D754" s="1"/>
    </row>
    <row r="755" ht="13.5" customHeight="1">
      <c r="A755" s="1"/>
      <c r="B755" s="1"/>
      <c r="C755" s="1"/>
      <c r="D755" s="1"/>
    </row>
    <row r="756" ht="13.5" customHeight="1">
      <c r="A756" s="1"/>
      <c r="B756" s="1"/>
      <c r="C756" s="1"/>
      <c r="D756" s="1"/>
    </row>
    <row r="757" ht="13.5" customHeight="1">
      <c r="A757" s="1"/>
      <c r="B757" s="1"/>
      <c r="C757" s="1"/>
      <c r="D757" s="1"/>
    </row>
    <row r="758" ht="13.5" customHeight="1">
      <c r="A758" s="1"/>
      <c r="B758" s="1"/>
      <c r="C758" s="1"/>
      <c r="D758" s="1"/>
    </row>
    <row r="759" ht="13.5" customHeight="1">
      <c r="A759" s="1"/>
      <c r="B759" s="1"/>
      <c r="C759" s="1"/>
      <c r="D759" s="1"/>
    </row>
    <row r="760" ht="13.5" customHeight="1">
      <c r="A760" s="1"/>
      <c r="B760" s="1"/>
      <c r="C760" s="1"/>
      <c r="D760" s="1"/>
    </row>
    <row r="761" ht="13.5" customHeight="1">
      <c r="A761" s="1"/>
      <c r="B761" s="1"/>
      <c r="C761" s="1"/>
      <c r="D761" s="1"/>
    </row>
    <row r="762" ht="13.5" customHeight="1">
      <c r="A762" s="1"/>
      <c r="B762" s="1"/>
      <c r="C762" s="1"/>
      <c r="D762" s="1"/>
    </row>
    <row r="763" ht="13.5" customHeight="1">
      <c r="A763" s="1"/>
      <c r="B763" s="1"/>
      <c r="C763" s="1"/>
      <c r="D763" s="1"/>
    </row>
    <row r="764" ht="13.5" customHeight="1">
      <c r="A764" s="1"/>
      <c r="B764" s="1"/>
      <c r="C764" s="1"/>
      <c r="D764" s="1"/>
    </row>
    <row r="765" ht="13.5" customHeight="1">
      <c r="A765" s="1"/>
      <c r="B765" s="1"/>
      <c r="C765" s="1"/>
      <c r="D765" s="1"/>
    </row>
    <row r="766" ht="13.5" customHeight="1">
      <c r="A766" s="1"/>
      <c r="B766" s="1"/>
      <c r="C766" s="1"/>
      <c r="D766" s="1"/>
    </row>
    <row r="767" ht="13.5" customHeight="1">
      <c r="A767" s="1"/>
      <c r="B767" s="1"/>
      <c r="C767" s="1"/>
      <c r="D767" s="1"/>
    </row>
    <row r="768" ht="13.5" customHeight="1">
      <c r="A768" s="1"/>
      <c r="B768" s="1"/>
      <c r="C768" s="1"/>
      <c r="D768" s="1"/>
    </row>
    <row r="769" ht="13.5" customHeight="1">
      <c r="A769" s="1"/>
      <c r="B769" s="1"/>
      <c r="C769" s="1"/>
      <c r="D769" s="1"/>
    </row>
    <row r="770" ht="13.5" customHeight="1">
      <c r="A770" s="1"/>
      <c r="B770" s="1"/>
      <c r="C770" s="1"/>
      <c r="D770" s="1"/>
    </row>
    <row r="771" ht="13.5" customHeight="1">
      <c r="A771" s="1"/>
      <c r="B771" s="1"/>
      <c r="C771" s="1"/>
      <c r="D771" s="1"/>
    </row>
    <row r="772" ht="13.5" customHeight="1">
      <c r="A772" s="1"/>
      <c r="B772" s="1"/>
      <c r="C772" s="1"/>
      <c r="D772" s="1"/>
    </row>
    <row r="773" ht="13.5" customHeight="1">
      <c r="A773" s="1"/>
      <c r="B773" s="1"/>
      <c r="C773" s="1"/>
      <c r="D773" s="1"/>
    </row>
    <row r="774" ht="13.5" customHeight="1">
      <c r="A774" s="1"/>
      <c r="B774" s="1"/>
      <c r="C774" s="1"/>
      <c r="D774" s="1"/>
    </row>
    <row r="775" ht="13.5" customHeight="1">
      <c r="A775" s="1"/>
      <c r="B775" s="1"/>
      <c r="C775" s="1"/>
      <c r="D775" s="1"/>
    </row>
    <row r="776" ht="13.5" customHeight="1">
      <c r="A776" s="1"/>
      <c r="B776" s="1"/>
      <c r="C776" s="1"/>
      <c r="D776" s="1"/>
    </row>
    <row r="777" ht="13.5" customHeight="1">
      <c r="A777" s="1"/>
      <c r="B777" s="1"/>
      <c r="C777" s="1"/>
      <c r="D777" s="1"/>
    </row>
    <row r="778" ht="13.5" customHeight="1">
      <c r="A778" s="1"/>
      <c r="B778" s="1"/>
      <c r="C778" s="1"/>
      <c r="D778" s="1"/>
    </row>
    <row r="779" ht="13.5" customHeight="1">
      <c r="A779" s="1"/>
      <c r="B779" s="1"/>
      <c r="C779" s="1"/>
      <c r="D779" s="1"/>
    </row>
    <row r="780" ht="13.5" customHeight="1">
      <c r="A780" s="1"/>
      <c r="B780" s="1"/>
      <c r="C780" s="1"/>
      <c r="D780" s="1"/>
    </row>
    <row r="781" ht="13.5" customHeight="1">
      <c r="A781" s="1"/>
      <c r="B781" s="1"/>
      <c r="C781" s="1"/>
      <c r="D781" s="1"/>
    </row>
    <row r="782" ht="13.5" customHeight="1">
      <c r="A782" s="1"/>
      <c r="B782" s="1"/>
      <c r="C782" s="1"/>
      <c r="D782" s="1"/>
    </row>
    <row r="783" ht="13.5" customHeight="1">
      <c r="A783" s="1"/>
      <c r="B783" s="1"/>
      <c r="C783" s="1"/>
      <c r="D783" s="1"/>
    </row>
    <row r="784" ht="13.5" customHeight="1">
      <c r="A784" s="1"/>
      <c r="B784" s="1"/>
      <c r="C784" s="1"/>
      <c r="D784" s="1"/>
    </row>
    <row r="785" ht="13.5" customHeight="1">
      <c r="A785" s="1"/>
      <c r="B785" s="1"/>
      <c r="C785" s="1"/>
      <c r="D785" s="1"/>
    </row>
    <row r="786" ht="13.5" customHeight="1">
      <c r="A786" s="1"/>
      <c r="B786" s="1"/>
      <c r="C786" s="1"/>
      <c r="D786" s="1"/>
    </row>
    <row r="787" ht="13.5" customHeight="1">
      <c r="A787" s="1"/>
      <c r="B787" s="1"/>
      <c r="C787" s="1"/>
      <c r="D787" s="1"/>
    </row>
    <row r="788" ht="13.5" customHeight="1">
      <c r="A788" s="1"/>
      <c r="B788" s="1"/>
      <c r="C788" s="1"/>
      <c r="D788" s="1"/>
    </row>
    <row r="789" ht="13.5" customHeight="1">
      <c r="A789" s="1"/>
      <c r="B789" s="1"/>
      <c r="C789" s="1"/>
      <c r="D789" s="1"/>
    </row>
    <row r="790" ht="13.5" customHeight="1">
      <c r="A790" s="1"/>
      <c r="B790" s="1"/>
      <c r="C790" s="1"/>
      <c r="D790" s="1"/>
    </row>
    <row r="791" ht="13.5" customHeight="1">
      <c r="A791" s="1"/>
      <c r="B791" s="1"/>
      <c r="C791" s="1"/>
      <c r="D791" s="1"/>
    </row>
    <row r="792" ht="13.5" customHeight="1">
      <c r="A792" s="1"/>
      <c r="B792" s="1"/>
      <c r="C792" s="1"/>
      <c r="D792" s="1"/>
    </row>
    <row r="793" ht="13.5" customHeight="1">
      <c r="A793" s="1"/>
      <c r="B793" s="1"/>
      <c r="C793" s="1"/>
      <c r="D793" s="1"/>
    </row>
    <row r="794" ht="13.5" customHeight="1">
      <c r="A794" s="1"/>
      <c r="B794" s="1"/>
      <c r="C794" s="1"/>
      <c r="D794" s="1"/>
    </row>
    <row r="795" ht="13.5" customHeight="1">
      <c r="A795" s="1"/>
      <c r="B795" s="1"/>
      <c r="C795" s="1"/>
      <c r="D795" s="1"/>
    </row>
    <row r="796" ht="13.5" customHeight="1">
      <c r="A796" s="1"/>
      <c r="B796" s="1"/>
      <c r="C796" s="1"/>
      <c r="D796" s="1"/>
    </row>
    <row r="797" ht="13.5" customHeight="1">
      <c r="A797" s="1"/>
      <c r="B797" s="1"/>
      <c r="C797" s="1"/>
      <c r="D797" s="1"/>
    </row>
    <row r="798" ht="13.5" customHeight="1">
      <c r="A798" s="1"/>
      <c r="B798" s="1"/>
      <c r="C798" s="1"/>
      <c r="D798" s="1"/>
    </row>
    <row r="799" ht="13.5" customHeight="1">
      <c r="A799" s="1"/>
      <c r="B799" s="1"/>
      <c r="C799" s="1"/>
      <c r="D799" s="1"/>
    </row>
    <row r="800" ht="13.5" customHeight="1">
      <c r="A800" s="1"/>
      <c r="B800" s="1"/>
      <c r="C800" s="1"/>
      <c r="D800" s="1"/>
    </row>
    <row r="801" ht="13.5" customHeight="1">
      <c r="A801" s="1"/>
      <c r="B801" s="1"/>
      <c r="C801" s="1"/>
      <c r="D801" s="1"/>
    </row>
    <row r="802" ht="13.5" customHeight="1">
      <c r="A802" s="1"/>
      <c r="B802" s="1"/>
      <c r="C802" s="1"/>
      <c r="D802" s="1"/>
    </row>
    <row r="803" ht="13.5" customHeight="1">
      <c r="A803" s="1"/>
      <c r="B803" s="1"/>
      <c r="C803" s="1"/>
      <c r="D803" s="1"/>
    </row>
    <row r="804" ht="13.5" customHeight="1">
      <c r="A804" s="1"/>
      <c r="B804" s="1"/>
      <c r="C804" s="1"/>
      <c r="D804" s="1"/>
    </row>
    <row r="805" ht="13.5" customHeight="1">
      <c r="A805" s="1"/>
      <c r="B805" s="1"/>
      <c r="C805" s="1"/>
      <c r="D805" s="1"/>
    </row>
    <row r="806" ht="13.5" customHeight="1">
      <c r="A806" s="1"/>
      <c r="B806" s="1"/>
      <c r="C806" s="1"/>
      <c r="D806" s="1"/>
    </row>
    <row r="807" ht="13.5" customHeight="1">
      <c r="A807" s="1"/>
      <c r="B807" s="1"/>
      <c r="C807" s="1"/>
      <c r="D807" s="1"/>
    </row>
    <row r="808" ht="13.5" customHeight="1">
      <c r="A808" s="1"/>
      <c r="B808" s="1"/>
      <c r="C808" s="1"/>
      <c r="D808" s="1"/>
    </row>
    <row r="809" ht="13.5" customHeight="1">
      <c r="A809" s="1"/>
      <c r="B809" s="1"/>
      <c r="C809" s="1"/>
      <c r="D809" s="1"/>
    </row>
    <row r="810" ht="13.5" customHeight="1">
      <c r="A810" s="1"/>
      <c r="B810" s="1"/>
      <c r="C810" s="1"/>
      <c r="D810" s="1"/>
    </row>
    <row r="811" ht="13.5" customHeight="1">
      <c r="A811" s="1"/>
      <c r="B811" s="1"/>
      <c r="C811" s="1"/>
      <c r="D811" s="1"/>
    </row>
    <row r="812" ht="13.5" customHeight="1">
      <c r="A812" s="1"/>
      <c r="B812" s="1"/>
      <c r="C812" s="1"/>
      <c r="D812" s="1"/>
    </row>
    <row r="813" ht="13.5" customHeight="1">
      <c r="A813" s="1"/>
      <c r="B813" s="1"/>
      <c r="C813" s="1"/>
      <c r="D813" s="1"/>
    </row>
    <row r="814" ht="13.5" customHeight="1">
      <c r="A814" s="1"/>
      <c r="B814" s="1"/>
      <c r="C814" s="1"/>
      <c r="D814" s="1"/>
    </row>
    <row r="815" ht="13.5" customHeight="1">
      <c r="A815" s="1"/>
      <c r="B815" s="1"/>
      <c r="C815" s="1"/>
      <c r="D815" s="1"/>
    </row>
    <row r="816" ht="13.5" customHeight="1">
      <c r="A816" s="1"/>
      <c r="B816" s="1"/>
      <c r="C816" s="1"/>
      <c r="D816" s="1"/>
    </row>
    <row r="817" ht="13.5" customHeight="1">
      <c r="A817" s="1"/>
      <c r="B817" s="1"/>
      <c r="C817" s="1"/>
      <c r="D817" s="1"/>
    </row>
    <row r="818" ht="13.5" customHeight="1">
      <c r="A818" s="1"/>
      <c r="B818" s="1"/>
      <c r="C818" s="1"/>
      <c r="D818" s="1"/>
    </row>
    <row r="819" ht="13.5" customHeight="1">
      <c r="A819" s="1"/>
      <c r="B819" s="1"/>
      <c r="C819" s="1"/>
      <c r="D819" s="1"/>
    </row>
    <row r="820" ht="13.5" customHeight="1">
      <c r="A820" s="1"/>
      <c r="B820" s="1"/>
      <c r="C820" s="1"/>
      <c r="D820" s="1"/>
    </row>
    <row r="821" ht="13.5" customHeight="1">
      <c r="A821" s="1"/>
      <c r="B821" s="1"/>
      <c r="C821" s="1"/>
      <c r="D821" s="1"/>
    </row>
    <row r="822" ht="13.5" customHeight="1">
      <c r="A822" s="1"/>
      <c r="B822" s="1"/>
      <c r="C822" s="1"/>
      <c r="D822" s="1"/>
    </row>
    <row r="823" ht="13.5" customHeight="1">
      <c r="A823" s="1"/>
      <c r="B823" s="1"/>
      <c r="C823" s="1"/>
      <c r="D823" s="1"/>
    </row>
    <row r="824" ht="13.5" customHeight="1">
      <c r="A824" s="1"/>
      <c r="B824" s="1"/>
      <c r="C824" s="1"/>
      <c r="D824" s="1"/>
    </row>
    <row r="825" ht="13.5" customHeight="1">
      <c r="A825" s="1"/>
      <c r="B825" s="1"/>
      <c r="C825" s="1"/>
      <c r="D825" s="1"/>
    </row>
    <row r="826" ht="13.5" customHeight="1">
      <c r="A826" s="1"/>
      <c r="B826" s="1"/>
      <c r="C826" s="1"/>
      <c r="D826" s="1"/>
    </row>
    <row r="827" ht="13.5" customHeight="1">
      <c r="A827" s="1"/>
      <c r="B827" s="1"/>
      <c r="C827" s="1"/>
      <c r="D827" s="1"/>
    </row>
    <row r="828" ht="13.5" customHeight="1">
      <c r="A828" s="1"/>
      <c r="B828" s="1"/>
      <c r="C828" s="1"/>
      <c r="D828" s="1"/>
    </row>
    <row r="829" ht="13.5" customHeight="1">
      <c r="A829" s="1"/>
      <c r="B829" s="1"/>
      <c r="C829" s="1"/>
      <c r="D829" s="1"/>
    </row>
    <row r="830" ht="13.5" customHeight="1">
      <c r="A830" s="1"/>
      <c r="B830" s="1"/>
      <c r="C830" s="1"/>
      <c r="D830" s="1"/>
    </row>
    <row r="831" ht="13.5" customHeight="1">
      <c r="A831" s="1"/>
      <c r="B831" s="1"/>
      <c r="C831" s="1"/>
      <c r="D831" s="1"/>
    </row>
    <row r="832" ht="13.5" customHeight="1">
      <c r="A832" s="1"/>
      <c r="B832" s="1"/>
      <c r="C832" s="1"/>
      <c r="D832" s="1"/>
    </row>
    <row r="833" ht="13.5" customHeight="1">
      <c r="A833" s="1"/>
      <c r="B833" s="1"/>
      <c r="C833" s="1"/>
      <c r="D833" s="1"/>
    </row>
    <row r="834" ht="13.5" customHeight="1">
      <c r="A834" s="1"/>
      <c r="B834" s="1"/>
      <c r="C834" s="1"/>
      <c r="D834" s="1"/>
    </row>
    <row r="835" ht="13.5" customHeight="1">
      <c r="A835" s="1"/>
      <c r="B835" s="1"/>
      <c r="C835" s="1"/>
      <c r="D835" s="1"/>
    </row>
    <row r="836" ht="13.5" customHeight="1">
      <c r="A836" s="1"/>
      <c r="B836" s="1"/>
      <c r="C836" s="1"/>
      <c r="D836" s="1"/>
    </row>
    <row r="837" ht="13.5" customHeight="1">
      <c r="A837" s="1"/>
      <c r="B837" s="1"/>
      <c r="C837" s="1"/>
      <c r="D837" s="1"/>
    </row>
    <row r="838" ht="13.5" customHeight="1">
      <c r="A838" s="1"/>
      <c r="B838" s="1"/>
      <c r="C838" s="1"/>
      <c r="D838" s="1"/>
    </row>
    <row r="839" ht="13.5" customHeight="1">
      <c r="A839" s="1"/>
      <c r="B839" s="1"/>
      <c r="C839" s="1"/>
      <c r="D839" s="1"/>
    </row>
    <row r="840" ht="13.5" customHeight="1">
      <c r="A840" s="1"/>
      <c r="B840" s="1"/>
      <c r="C840" s="1"/>
      <c r="D840" s="1"/>
    </row>
    <row r="841" ht="13.5" customHeight="1">
      <c r="A841" s="1"/>
      <c r="B841" s="1"/>
      <c r="C841" s="1"/>
      <c r="D841" s="1"/>
    </row>
    <row r="842" ht="13.5" customHeight="1">
      <c r="A842" s="1"/>
      <c r="B842" s="1"/>
      <c r="C842" s="1"/>
      <c r="D842" s="1"/>
    </row>
    <row r="843" ht="13.5" customHeight="1">
      <c r="A843" s="1"/>
      <c r="B843" s="1"/>
      <c r="C843" s="1"/>
      <c r="D843" s="1"/>
    </row>
    <row r="844" ht="13.5" customHeight="1">
      <c r="A844" s="1"/>
      <c r="B844" s="1"/>
      <c r="C844" s="1"/>
      <c r="D844" s="1"/>
    </row>
    <row r="845" ht="13.5" customHeight="1">
      <c r="A845" s="1"/>
      <c r="B845" s="1"/>
      <c r="C845" s="1"/>
      <c r="D845" s="1"/>
    </row>
    <row r="846" ht="13.5" customHeight="1">
      <c r="A846" s="1"/>
      <c r="B846" s="1"/>
      <c r="C846" s="1"/>
      <c r="D846" s="1"/>
    </row>
    <row r="847" ht="13.5" customHeight="1">
      <c r="A847" s="1"/>
      <c r="B847" s="1"/>
      <c r="C847" s="1"/>
      <c r="D847" s="1"/>
    </row>
    <row r="848" ht="13.5" customHeight="1">
      <c r="A848" s="1"/>
      <c r="B848" s="1"/>
      <c r="C848" s="1"/>
      <c r="D848" s="1"/>
    </row>
    <row r="849" ht="13.5" customHeight="1">
      <c r="A849" s="1"/>
      <c r="B849" s="1"/>
      <c r="C849" s="1"/>
      <c r="D849" s="1"/>
    </row>
    <row r="850" ht="13.5" customHeight="1">
      <c r="A850" s="1"/>
      <c r="B850" s="1"/>
      <c r="C850" s="1"/>
      <c r="D850" s="1"/>
    </row>
    <row r="851" ht="13.5" customHeight="1">
      <c r="A851" s="1"/>
      <c r="B851" s="1"/>
      <c r="C851" s="1"/>
      <c r="D851" s="1"/>
    </row>
    <row r="852" ht="13.5" customHeight="1">
      <c r="A852" s="1"/>
      <c r="B852" s="1"/>
      <c r="C852" s="1"/>
      <c r="D852" s="1"/>
    </row>
    <row r="853" ht="13.5" customHeight="1">
      <c r="A853" s="1"/>
      <c r="B853" s="1"/>
      <c r="C853" s="1"/>
      <c r="D853" s="1"/>
    </row>
    <row r="854" ht="13.5" customHeight="1">
      <c r="A854" s="1"/>
      <c r="B854" s="1"/>
      <c r="C854" s="1"/>
      <c r="D854" s="1"/>
    </row>
    <row r="855" ht="13.5" customHeight="1">
      <c r="A855" s="1"/>
      <c r="B855" s="1"/>
      <c r="C855" s="1"/>
      <c r="D855" s="1"/>
    </row>
    <row r="856" ht="13.5" customHeight="1">
      <c r="A856" s="1"/>
      <c r="B856" s="1"/>
      <c r="C856" s="1"/>
      <c r="D856" s="1"/>
    </row>
    <row r="857" ht="13.5" customHeight="1">
      <c r="A857" s="1"/>
      <c r="B857" s="1"/>
      <c r="C857" s="1"/>
      <c r="D857" s="1"/>
    </row>
    <row r="858" ht="13.5" customHeight="1">
      <c r="A858" s="1"/>
      <c r="B858" s="1"/>
      <c r="C858" s="1"/>
      <c r="D858" s="1"/>
    </row>
    <row r="859" ht="13.5" customHeight="1">
      <c r="A859" s="1"/>
      <c r="B859" s="1"/>
      <c r="C859" s="1"/>
      <c r="D859" s="1"/>
    </row>
    <row r="860" ht="13.5" customHeight="1">
      <c r="A860" s="1"/>
      <c r="B860" s="1"/>
      <c r="C860" s="1"/>
      <c r="D860" s="1"/>
    </row>
    <row r="861" ht="13.5" customHeight="1">
      <c r="A861" s="1"/>
      <c r="B861" s="1"/>
      <c r="C861" s="1"/>
      <c r="D861" s="1"/>
    </row>
    <row r="862" ht="13.5" customHeight="1">
      <c r="A862" s="1"/>
      <c r="B862" s="1"/>
      <c r="C862" s="1"/>
      <c r="D862" s="1"/>
    </row>
    <row r="863" ht="13.5" customHeight="1">
      <c r="A863" s="1"/>
      <c r="B863" s="1"/>
      <c r="C863" s="1"/>
      <c r="D863" s="1"/>
    </row>
    <row r="864" ht="13.5" customHeight="1">
      <c r="A864" s="1"/>
      <c r="B864" s="1"/>
      <c r="C864" s="1"/>
      <c r="D864" s="1"/>
    </row>
    <row r="865" ht="13.5" customHeight="1">
      <c r="A865" s="1"/>
      <c r="B865" s="1"/>
      <c r="C865" s="1"/>
      <c r="D865" s="1"/>
    </row>
    <row r="866" ht="13.5" customHeight="1">
      <c r="A866" s="1"/>
      <c r="B866" s="1"/>
      <c r="C866" s="1"/>
      <c r="D866" s="1"/>
    </row>
    <row r="867" ht="13.5" customHeight="1">
      <c r="A867" s="1"/>
      <c r="B867" s="1"/>
      <c r="C867" s="1"/>
      <c r="D867" s="1"/>
    </row>
    <row r="868" ht="13.5" customHeight="1">
      <c r="A868" s="1"/>
      <c r="B868" s="1"/>
      <c r="C868" s="1"/>
      <c r="D868" s="1"/>
    </row>
    <row r="869" ht="13.5" customHeight="1">
      <c r="A869" s="1"/>
      <c r="B869" s="1"/>
      <c r="C869" s="1"/>
      <c r="D869" s="1"/>
    </row>
    <row r="870" ht="13.5" customHeight="1">
      <c r="A870" s="1"/>
      <c r="B870" s="1"/>
      <c r="C870" s="1"/>
      <c r="D870" s="1"/>
    </row>
    <row r="871" ht="13.5" customHeight="1">
      <c r="A871" s="1"/>
      <c r="B871" s="1"/>
      <c r="C871" s="1"/>
      <c r="D871" s="1"/>
    </row>
    <row r="872" ht="13.5" customHeight="1">
      <c r="A872" s="1"/>
      <c r="B872" s="1"/>
      <c r="C872" s="1"/>
      <c r="D872" s="1"/>
    </row>
    <row r="873" ht="13.5" customHeight="1">
      <c r="A873" s="1"/>
      <c r="B873" s="1"/>
      <c r="C873" s="1"/>
      <c r="D873" s="1"/>
    </row>
    <row r="874" ht="13.5" customHeight="1">
      <c r="A874" s="1"/>
      <c r="B874" s="1"/>
      <c r="C874" s="1"/>
      <c r="D874" s="1"/>
    </row>
    <row r="875" ht="13.5" customHeight="1">
      <c r="A875" s="1"/>
      <c r="B875" s="1"/>
      <c r="C875" s="1"/>
      <c r="D875" s="1"/>
    </row>
    <row r="876" ht="13.5" customHeight="1">
      <c r="A876" s="1"/>
      <c r="B876" s="1"/>
      <c r="C876" s="1"/>
      <c r="D876" s="1"/>
    </row>
    <row r="877" ht="13.5" customHeight="1">
      <c r="A877" s="1"/>
      <c r="B877" s="1"/>
      <c r="C877" s="1"/>
      <c r="D877" s="1"/>
    </row>
    <row r="878" ht="13.5" customHeight="1">
      <c r="A878" s="1"/>
      <c r="B878" s="1"/>
      <c r="C878" s="1"/>
      <c r="D878" s="1"/>
    </row>
    <row r="879" ht="13.5" customHeight="1">
      <c r="A879" s="1"/>
      <c r="B879" s="1"/>
      <c r="C879" s="1"/>
      <c r="D879" s="1"/>
    </row>
    <row r="880" ht="13.5" customHeight="1">
      <c r="A880" s="1"/>
      <c r="B880" s="1"/>
      <c r="C880" s="1"/>
      <c r="D880" s="1"/>
    </row>
    <row r="881" ht="13.5" customHeight="1">
      <c r="A881" s="1"/>
      <c r="B881" s="1"/>
      <c r="C881" s="1"/>
      <c r="D881" s="1"/>
    </row>
    <row r="882" ht="13.5" customHeight="1">
      <c r="A882" s="1"/>
      <c r="B882" s="1"/>
      <c r="C882" s="1"/>
      <c r="D882" s="1"/>
    </row>
    <row r="883" ht="13.5" customHeight="1">
      <c r="A883" s="1"/>
      <c r="B883" s="1"/>
      <c r="C883" s="1"/>
      <c r="D883" s="1"/>
    </row>
    <row r="884" ht="13.5" customHeight="1">
      <c r="A884" s="1"/>
      <c r="B884" s="1"/>
      <c r="C884" s="1"/>
      <c r="D884" s="1"/>
    </row>
    <row r="885" ht="13.5" customHeight="1">
      <c r="A885" s="1"/>
      <c r="B885" s="1"/>
      <c r="C885" s="1"/>
      <c r="D885" s="1"/>
    </row>
    <row r="886" ht="13.5" customHeight="1">
      <c r="A886" s="1"/>
      <c r="B886" s="1"/>
      <c r="C886" s="1"/>
      <c r="D886" s="1"/>
    </row>
    <row r="887" ht="13.5" customHeight="1">
      <c r="A887" s="1"/>
      <c r="B887" s="1"/>
      <c r="C887" s="1"/>
      <c r="D887" s="1"/>
    </row>
    <row r="888" ht="13.5" customHeight="1">
      <c r="A888" s="1"/>
      <c r="B888" s="1"/>
      <c r="C888" s="1"/>
      <c r="D888" s="1"/>
    </row>
    <row r="889" ht="13.5" customHeight="1">
      <c r="A889" s="1"/>
      <c r="B889" s="1"/>
      <c r="C889" s="1"/>
      <c r="D889" s="1"/>
    </row>
    <row r="890" ht="13.5" customHeight="1">
      <c r="A890" s="1"/>
      <c r="B890" s="1"/>
      <c r="C890" s="1"/>
      <c r="D890" s="1"/>
    </row>
    <row r="891" ht="13.5" customHeight="1">
      <c r="A891" s="1"/>
      <c r="B891" s="1"/>
      <c r="C891" s="1"/>
      <c r="D891" s="1"/>
    </row>
    <row r="892" ht="13.5" customHeight="1">
      <c r="A892" s="1"/>
      <c r="B892" s="1"/>
      <c r="C892" s="1"/>
      <c r="D892" s="1"/>
    </row>
    <row r="893" ht="13.5" customHeight="1">
      <c r="A893" s="1"/>
      <c r="B893" s="1"/>
      <c r="C893" s="1"/>
      <c r="D893" s="1"/>
    </row>
    <row r="894" ht="13.5" customHeight="1">
      <c r="A894" s="1"/>
      <c r="B894" s="1"/>
      <c r="C894" s="1"/>
      <c r="D894" s="1"/>
    </row>
    <row r="895" ht="13.5" customHeight="1">
      <c r="A895" s="1"/>
      <c r="B895" s="1"/>
      <c r="C895" s="1"/>
      <c r="D895" s="1"/>
    </row>
    <row r="896" ht="13.5" customHeight="1">
      <c r="A896" s="1"/>
      <c r="B896" s="1"/>
      <c r="C896" s="1"/>
      <c r="D896" s="1"/>
    </row>
    <row r="897" ht="13.5" customHeight="1">
      <c r="A897" s="1"/>
      <c r="B897" s="1"/>
      <c r="C897" s="1"/>
      <c r="D897" s="1"/>
    </row>
    <row r="898" ht="13.5" customHeight="1">
      <c r="A898" s="1"/>
      <c r="B898" s="1"/>
      <c r="C898" s="1"/>
      <c r="D898" s="1"/>
    </row>
    <row r="899" ht="13.5" customHeight="1">
      <c r="A899" s="1"/>
      <c r="B899" s="1"/>
      <c r="C899" s="1"/>
      <c r="D899" s="1"/>
    </row>
    <row r="900" ht="13.5" customHeight="1">
      <c r="A900" s="1"/>
      <c r="B900" s="1"/>
      <c r="C900" s="1"/>
      <c r="D900" s="1"/>
    </row>
    <row r="901" ht="13.5" customHeight="1">
      <c r="A901" s="1"/>
      <c r="B901" s="1"/>
      <c r="C901" s="1"/>
      <c r="D901" s="1"/>
    </row>
    <row r="902" ht="13.5" customHeight="1">
      <c r="A902" s="1"/>
      <c r="B902" s="1"/>
      <c r="C902" s="1"/>
      <c r="D902" s="1"/>
    </row>
    <row r="903" ht="13.5" customHeight="1">
      <c r="A903" s="1"/>
      <c r="B903" s="1"/>
      <c r="C903" s="1"/>
      <c r="D903" s="1"/>
    </row>
    <row r="904" ht="13.5" customHeight="1">
      <c r="A904" s="1"/>
      <c r="B904" s="1"/>
      <c r="C904" s="1"/>
      <c r="D904" s="1"/>
    </row>
    <row r="905" ht="13.5" customHeight="1">
      <c r="A905" s="1"/>
      <c r="B905" s="1"/>
      <c r="C905" s="1"/>
      <c r="D905" s="1"/>
    </row>
    <row r="906" ht="13.5" customHeight="1">
      <c r="A906" s="1"/>
      <c r="B906" s="1"/>
      <c r="C906" s="1"/>
      <c r="D906" s="1"/>
    </row>
    <row r="907" ht="13.5" customHeight="1">
      <c r="A907" s="1"/>
      <c r="B907" s="1"/>
      <c r="C907" s="1"/>
      <c r="D907" s="1"/>
    </row>
    <row r="908" ht="13.5" customHeight="1">
      <c r="A908" s="1"/>
      <c r="B908" s="1"/>
      <c r="C908" s="1"/>
      <c r="D908" s="1"/>
    </row>
    <row r="909" ht="13.5" customHeight="1">
      <c r="A909" s="1"/>
      <c r="B909" s="1"/>
      <c r="C909" s="1"/>
      <c r="D909" s="1"/>
    </row>
    <row r="910" ht="13.5" customHeight="1">
      <c r="A910" s="1"/>
      <c r="B910" s="1"/>
      <c r="C910" s="1"/>
      <c r="D910" s="1"/>
    </row>
    <row r="911" ht="13.5" customHeight="1">
      <c r="A911" s="1"/>
      <c r="B911" s="1"/>
      <c r="C911" s="1"/>
      <c r="D911" s="1"/>
    </row>
    <row r="912" ht="13.5" customHeight="1">
      <c r="A912" s="1"/>
      <c r="B912" s="1"/>
      <c r="C912" s="1"/>
      <c r="D912" s="1"/>
    </row>
    <row r="913" ht="13.5" customHeight="1">
      <c r="A913" s="1"/>
      <c r="B913" s="1"/>
      <c r="C913" s="1"/>
      <c r="D913" s="1"/>
    </row>
    <row r="914" ht="13.5" customHeight="1">
      <c r="A914" s="1"/>
      <c r="B914" s="1"/>
      <c r="C914" s="1"/>
      <c r="D914" s="1"/>
    </row>
    <row r="915" ht="13.5" customHeight="1">
      <c r="A915" s="1"/>
      <c r="B915" s="1"/>
      <c r="C915" s="1"/>
      <c r="D915" s="1"/>
    </row>
    <row r="916" ht="13.5" customHeight="1">
      <c r="A916" s="1"/>
      <c r="B916" s="1"/>
      <c r="C916" s="1"/>
      <c r="D916" s="1"/>
    </row>
    <row r="917" ht="13.5" customHeight="1">
      <c r="A917" s="1"/>
      <c r="B917" s="1"/>
      <c r="C917" s="1"/>
      <c r="D917" s="1"/>
    </row>
    <row r="918" ht="13.5" customHeight="1">
      <c r="A918" s="1"/>
      <c r="B918" s="1"/>
      <c r="C918" s="1"/>
      <c r="D918" s="1"/>
    </row>
    <row r="919" ht="13.5" customHeight="1">
      <c r="A919" s="1"/>
      <c r="B919" s="1"/>
      <c r="C919" s="1"/>
      <c r="D919" s="1"/>
    </row>
    <row r="920" ht="13.5" customHeight="1">
      <c r="A920" s="1"/>
      <c r="B920" s="1"/>
      <c r="C920" s="1"/>
      <c r="D920" s="1"/>
    </row>
    <row r="921" ht="13.5" customHeight="1">
      <c r="A921" s="1"/>
      <c r="B921" s="1"/>
      <c r="C921" s="1"/>
      <c r="D921" s="1"/>
    </row>
    <row r="922" ht="13.5" customHeight="1">
      <c r="A922" s="1"/>
      <c r="B922" s="1"/>
      <c r="C922" s="1"/>
      <c r="D922" s="1"/>
    </row>
    <row r="923" ht="13.5" customHeight="1">
      <c r="A923" s="1"/>
      <c r="B923" s="1"/>
      <c r="C923" s="1"/>
      <c r="D923" s="1"/>
    </row>
    <row r="924" ht="13.5" customHeight="1">
      <c r="A924" s="1"/>
      <c r="B924" s="1"/>
      <c r="C924" s="1"/>
      <c r="D924" s="1"/>
    </row>
    <row r="925" ht="13.5" customHeight="1">
      <c r="A925" s="1"/>
      <c r="B925" s="1"/>
      <c r="C925" s="1"/>
      <c r="D925" s="1"/>
    </row>
    <row r="926" ht="13.5" customHeight="1">
      <c r="A926" s="1"/>
      <c r="B926" s="1"/>
      <c r="C926" s="1"/>
      <c r="D926" s="1"/>
    </row>
    <row r="927" ht="13.5" customHeight="1">
      <c r="A927" s="1"/>
      <c r="B927" s="1"/>
      <c r="C927" s="1"/>
      <c r="D927" s="1"/>
    </row>
    <row r="928" ht="13.5" customHeight="1">
      <c r="A928" s="1"/>
      <c r="B928" s="1"/>
      <c r="C928" s="1"/>
      <c r="D928" s="1"/>
    </row>
    <row r="929" ht="13.5" customHeight="1">
      <c r="A929" s="1"/>
      <c r="B929" s="1"/>
      <c r="C929" s="1"/>
      <c r="D929" s="1"/>
    </row>
    <row r="930" ht="13.5" customHeight="1">
      <c r="A930" s="1"/>
      <c r="B930" s="1"/>
      <c r="C930" s="1"/>
      <c r="D930" s="1"/>
    </row>
    <row r="931" ht="13.5" customHeight="1">
      <c r="A931" s="1"/>
      <c r="B931" s="1"/>
      <c r="C931" s="1"/>
      <c r="D931" s="1"/>
    </row>
    <row r="932" ht="13.5" customHeight="1">
      <c r="A932" s="1"/>
      <c r="B932" s="1"/>
      <c r="C932" s="1"/>
      <c r="D932" s="1"/>
    </row>
    <row r="933" ht="13.5" customHeight="1">
      <c r="A933" s="1"/>
      <c r="B933" s="1"/>
      <c r="C933" s="1"/>
      <c r="D933" s="1"/>
    </row>
    <row r="934" ht="13.5" customHeight="1">
      <c r="A934" s="1"/>
      <c r="B934" s="1"/>
      <c r="C934" s="1"/>
      <c r="D934" s="1"/>
    </row>
    <row r="935" ht="13.5" customHeight="1">
      <c r="A935" s="1"/>
      <c r="B935" s="1"/>
      <c r="C935" s="1"/>
      <c r="D935" s="1"/>
    </row>
    <row r="936" ht="13.5" customHeight="1">
      <c r="A936" s="1"/>
      <c r="B936" s="1"/>
      <c r="C936" s="1"/>
      <c r="D936" s="1"/>
    </row>
    <row r="937" ht="13.5" customHeight="1">
      <c r="A937" s="1"/>
      <c r="B937" s="1"/>
      <c r="C937" s="1"/>
      <c r="D937" s="1"/>
    </row>
    <row r="938" ht="13.5" customHeight="1">
      <c r="A938" s="1"/>
      <c r="B938" s="1"/>
      <c r="C938" s="1"/>
      <c r="D938" s="1"/>
    </row>
    <row r="939" ht="13.5" customHeight="1">
      <c r="A939" s="1"/>
      <c r="B939" s="1"/>
      <c r="C939" s="1"/>
      <c r="D939" s="1"/>
    </row>
    <row r="940" ht="13.5" customHeight="1">
      <c r="A940" s="1"/>
      <c r="B940" s="1"/>
      <c r="C940" s="1"/>
      <c r="D940" s="1"/>
    </row>
    <row r="941" ht="13.5" customHeight="1">
      <c r="A941" s="1"/>
      <c r="B941" s="1"/>
      <c r="C941" s="1"/>
      <c r="D941" s="1"/>
    </row>
    <row r="942" ht="13.5" customHeight="1">
      <c r="A942" s="1"/>
      <c r="B942" s="1"/>
      <c r="C942" s="1"/>
      <c r="D942" s="1"/>
    </row>
    <row r="943" ht="13.5" customHeight="1">
      <c r="A943" s="1"/>
      <c r="B943" s="1"/>
      <c r="C943" s="1"/>
      <c r="D943" s="1"/>
    </row>
    <row r="944" ht="13.5" customHeight="1">
      <c r="A944" s="1"/>
      <c r="B944" s="1"/>
      <c r="C944" s="1"/>
      <c r="D944" s="1"/>
    </row>
    <row r="945" ht="13.5" customHeight="1">
      <c r="A945" s="1"/>
      <c r="B945" s="1"/>
      <c r="C945" s="1"/>
      <c r="D945" s="1"/>
    </row>
    <row r="946" ht="13.5" customHeight="1">
      <c r="A946" s="1"/>
      <c r="B946" s="1"/>
      <c r="C946" s="1"/>
      <c r="D946" s="1"/>
    </row>
    <row r="947" ht="13.5" customHeight="1">
      <c r="A947" s="1"/>
      <c r="B947" s="1"/>
      <c r="C947" s="1"/>
      <c r="D947" s="1"/>
    </row>
    <row r="948" ht="13.5" customHeight="1">
      <c r="A948" s="1"/>
      <c r="B948" s="1"/>
      <c r="C948" s="1"/>
      <c r="D948" s="1"/>
    </row>
    <row r="949" ht="13.5" customHeight="1">
      <c r="A949" s="1"/>
      <c r="B949" s="1"/>
      <c r="C949" s="1"/>
      <c r="D949" s="1"/>
    </row>
    <row r="950" ht="13.5" customHeight="1">
      <c r="A950" s="1"/>
      <c r="B950" s="1"/>
      <c r="C950" s="1"/>
      <c r="D950" s="1"/>
    </row>
    <row r="951" ht="13.5" customHeight="1">
      <c r="A951" s="1"/>
      <c r="B951" s="1"/>
      <c r="C951" s="1"/>
      <c r="D951" s="1"/>
    </row>
    <row r="952" ht="13.5" customHeight="1">
      <c r="A952" s="1"/>
      <c r="B952" s="1"/>
      <c r="C952" s="1"/>
      <c r="D952" s="1"/>
    </row>
    <row r="953" ht="13.5" customHeight="1">
      <c r="A953" s="1"/>
      <c r="B953" s="1"/>
      <c r="C953" s="1"/>
      <c r="D953" s="1"/>
    </row>
    <row r="954" ht="13.5" customHeight="1">
      <c r="A954" s="1"/>
      <c r="B954" s="1"/>
      <c r="C954" s="1"/>
      <c r="D954" s="1"/>
    </row>
    <row r="955" ht="13.5" customHeight="1">
      <c r="A955" s="1"/>
      <c r="B955" s="1"/>
      <c r="C955" s="1"/>
      <c r="D955" s="1"/>
    </row>
    <row r="956" ht="13.5" customHeight="1">
      <c r="A956" s="1"/>
      <c r="B956" s="1"/>
      <c r="C956" s="1"/>
      <c r="D956" s="1"/>
    </row>
    <row r="957" ht="13.5" customHeight="1">
      <c r="A957" s="1"/>
      <c r="B957" s="1"/>
      <c r="C957" s="1"/>
      <c r="D957" s="1"/>
    </row>
    <row r="958" ht="13.5" customHeight="1">
      <c r="A958" s="1"/>
      <c r="B958" s="1"/>
      <c r="C958" s="1"/>
      <c r="D958" s="1"/>
    </row>
    <row r="959" ht="13.5" customHeight="1">
      <c r="A959" s="1"/>
      <c r="B959" s="1"/>
      <c r="C959" s="1"/>
      <c r="D959" s="1"/>
    </row>
    <row r="960" ht="13.5" customHeight="1">
      <c r="A960" s="1"/>
      <c r="B960" s="1"/>
      <c r="C960" s="1"/>
      <c r="D960" s="1"/>
    </row>
    <row r="961" ht="13.5" customHeight="1">
      <c r="A961" s="1"/>
      <c r="B961" s="1"/>
      <c r="C961" s="1"/>
      <c r="D961" s="1"/>
    </row>
    <row r="962" ht="13.5" customHeight="1">
      <c r="A962" s="1"/>
      <c r="B962" s="1"/>
      <c r="C962" s="1"/>
      <c r="D962" s="1"/>
    </row>
    <row r="963" ht="13.5" customHeight="1">
      <c r="A963" s="1"/>
      <c r="B963" s="1"/>
      <c r="C963" s="1"/>
      <c r="D963" s="1"/>
    </row>
    <row r="964" ht="13.5" customHeight="1">
      <c r="A964" s="1"/>
      <c r="B964" s="1"/>
      <c r="C964" s="1"/>
      <c r="D964" s="1"/>
    </row>
    <row r="965" ht="13.5" customHeight="1">
      <c r="A965" s="1"/>
      <c r="B965" s="1"/>
      <c r="C965" s="1"/>
      <c r="D965" s="1"/>
    </row>
    <row r="966" ht="13.5" customHeight="1">
      <c r="A966" s="1"/>
      <c r="B966" s="1"/>
      <c r="C966" s="1"/>
      <c r="D966" s="1"/>
    </row>
    <row r="967" ht="13.5" customHeight="1">
      <c r="A967" s="1"/>
      <c r="B967" s="1"/>
      <c r="C967" s="1"/>
      <c r="D967" s="1"/>
    </row>
    <row r="968" ht="13.5" customHeight="1">
      <c r="A968" s="1"/>
      <c r="B968" s="1"/>
      <c r="C968" s="1"/>
      <c r="D968" s="1"/>
    </row>
    <row r="969" ht="13.5" customHeight="1">
      <c r="A969" s="1"/>
      <c r="B969" s="1"/>
      <c r="C969" s="1"/>
      <c r="D969" s="1"/>
    </row>
    <row r="970" ht="13.5" customHeight="1">
      <c r="A970" s="1"/>
      <c r="B970" s="1"/>
      <c r="C970" s="1"/>
      <c r="D970" s="1"/>
    </row>
    <row r="971" ht="13.5" customHeight="1">
      <c r="A971" s="1"/>
      <c r="B971" s="1"/>
      <c r="C971" s="1"/>
      <c r="D971" s="1"/>
    </row>
    <row r="972" ht="13.5" customHeight="1">
      <c r="A972" s="1"/>
      <c r="B972" s="1"/>
      <c r="C972" s="1"/>
      <c r="D972" s="1"/>
    </row>
    <row r="973" ht="13.5" customHeight="1">
      <c r="A973" s="1"/>
      <c r="B973" s="1"/>
      <c r="C973" s="1"/>
      <c r="D973" s="1"/>
    </row>
    <row r="974" ht="13.5" customHeight="1">
      <c r="A974" s="1"/>
      <c r="B974" s="1"/>
      <c r="C974" s="1"/>
      <c r="D974" s="1"/>
    </row>
    <row r="975" ht="13.5" customHeight="1">
      <c r="A975" s="1"/>
      <c r="B975" s="1"/>
      <c r="C975" s="1"/>
      <c r="D975" s="1"/>
    </row>
    <row r="976" ht="13.5" customHeight="1">
      <c r="A976" s="1"/>
      <c r="B976" s="1"/>
      <c r="C976" s="1"/>
      <c r="D976" s="1"/>
    </row>
    <row r="977" ht="13.5" customHeight="1">
      <c r="A977" s="1"/>
      <c r="B977" s="1"/>
      <c r="C977" s="1"/>
      <c r="D977" s="1"/>
    </row>
    <row r="978" ht="13.5" customHeight="1">
      <c r="A978" s="1"/>
      <c r="B978" s="1"/>
      <c r="C978" s="1"/>
      <c r="D978" s="1"/>
    </row>
    <row r="979" ht="13.5" customHeight="1">
      <c r="A979" s="1"/>
      <c r="B979" s="1"/>
      <c r="C979" s="1"/>
      <c r="D979" s="1"/>
    </row>
    <row r="980" ht="13.5" customHeight="1">
      <c r="A980" s="1"/>
      <c r="B980" s="1"/>
      <c r="C980" s="1"/>
      <c r="D980" s="1"/>
    </row>
    <row r="981" ht="13.5" customHeight="1">
      <c r="A981" s="1"/>
      <c r="B981" s="1"/>
      <c r="C981" s="1"/>
      <c r="D981" s="1"/>
    </row>
    <row r="982" ht="13.5" customHeight="1">
      <c r="A982" s="1"/>
      <c r="B982" s="1"/>
      <c r="C982" s="1"/>
      <c r="D982" s="1"/>
    </row>
    <row r="983" ht="13.5" customHeight="1">
      <c r="A983" s="1"/>
      <c r="B983" s="1"/>
      <c r="C983" s="1"/>
      <c r="D983" s="1"/>
    </row>
    <row r="984" ht="13.5" customHeight="1">
      <c r="A984" s="1"/>
      <c r="B984" s="1"/>
      <c r="C984" s="1"/>
      <c r="D984" s="1"/>
    </row>
    <row r="985" ht="13.5" customHeight="1">
      <c r="A985" s="1"/>
      <c r="B985" s="1"/>
      <c r="C985" s="1"/>
      <c r="D985" s="1"/>
    </row>
    <row r="986" ht="13.5" customHeight="1">
      <c r="A986" s="1"/>
      <c r="B986" s="1"/>
      <c r="C986" s="1"/>
      <c r="D986" s="1"/>
    </row>
    <row r="987" ht="13.5" customHeight="1">
      <c r="A987" s="1"/>
      <c r="B987" s="1"/>
      <c r="C987" s="1"/>
      <c r="D987" s="1"/>
    </row>
    <row r="988" ht="13.5" customHeight="1">
      <c r="A988" s="1"/>
      <c r="B988" s="1"/>
      <c r="C988" s="1"/>
      <c r="D988" s="1"/>
    </row>
    <row r="989" ht="13.5" customHeight="1">
      <c r="A989" s="1"/>
      <c r="B989" s="1"/>
      <c r="C989" s="1"/>
      <c r="D989" s="1"/>
    </row>
    <row r="990" ht="13.5" customHeight="1">
      <c r="A990" s="1"/>
      <c r="B990" s="1"/>
      <c r="C990" s="1"/>
      <c r="D990" s="1"/>
    </row>
    <row r="991" ht="13.5" customHeight="1">
      <c r="A991" s="1"/>
      <c r="B991" s="1"/>
      <c r="C991" s="1"/>
      <c r="D991" s="1"/>
    </row>
    <row r="992" ht="13.5" customHeight="1">
      <c r="A992" s="1"/>
      <c r="B992" s="1"/>
      <c r="C992" s="1"/>
      <c r="D992" s="1"/>
    </row>
    <row r="993" ht="13.5" customHeight="1">
      <c r="A993" s="1"/>
      <c r="B993" s="1"/>
      <c r="C993" s="1"/>
      <c r="D993" s="1"/>
    </row>
    <row r="994" ht="13.5" customHeight="1">
      <c r="A994" s="1"/>
      <c r="B994" s="1"/>
      <c r="C994" s="1"/>
      <c r="D994" s="1"/>
    </row>
    <row r="995" ht="13.5" customHeight="1">
      <c r="A995" s="1"/>
      <c r="B995" s="1"/>
      <c r="C995" s="1"/>
      <c r="D995" s="1"/>
    </row>
    <row r="996" ht="13.5" customHeight="1">
      <c r="A996" s="1"/>
      <c r="B996" s="1"/>
      <c r="C996" s="1"/>
      <c r="D996" s="1"/>
    </row>
    <row r="997" ht="13.5" customHeight="1">
      <c r="A997" s="1"/>
      <c r="B997" s="1"/>
      <c r="C997" s="1"/>
      <c r="D997" s="1"/>
    </row>
    <row r="998" ht="13.5" customHeight="1">
      <c r="A998" s="1"/>
      <c r="B998" s="1"/>
      <c r="C998" s="1"/>
      <c r="D998" s="1"/>
    </row>
    <row r="999" ht="13.5" customHeight="1">
      <c r="A999" s="1"/>
      <c r="B999" s="1"/>
      <c r="C999" s="1"/>
      <c r="D999" s="1"/>
    </row>
    <row r="1000" ht="13.5" customHeight="1">
      <c r="A1000" s="1"/>
      <c r="B1000" s="1"/>
      <c r="C1000" s="1"/>
      <c r="D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3.14"/>
    <col customWidth="1" min="3" max="3" width="18.86"/>
    <col customWidth="1" min="4" max="4" width="14.86"/>
    <col customWidth="1" min="5" max="5" width="18.86"/>
    <col customWidth="1" min="6" max="6" width="19.29"/>
    <col customWidth="1" min="7" max="7" width="15.43"/>
    <col customWidth="1" min="8" max="8" width="16.29"/>
    <col customWidth="1" min="9" max="26" width="12.71"/>
  </cols>
  <sheetData>
    <row r="1" ht="13.5" customHeight="1">
      <c r="A1" s="1"/>
      <c r="B1" s="1"/>
      <c r="C1" s="1"/>
      <c r="D1" s="1"/>
      <c r="E1" s="1"/>
      <c r="F1" s="1"/>
      <c r="G1" s="1"/>
      <c r="H1" s="1"/>
    </row>
    <row r="2" ht="15.0" customHeight="1">
      <c r="A2" s="1"/>
      <c r="B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3" t="s">
        <v>51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2" t="s"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 t="s">
        <v>3</v>
      </c>
      <c r="C7" s="1" t="s">
        <v>52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 t="s">
        <v>17</v>
      </c>
      <c r="C8" s="1" t="s">
        <v>53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 t="s">
        <v>19</v>
      </c>
      <c r="C9" s="1" t="s">
        <v>54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6" t="s">
        <v>55</v>
      </c>
      <c r="C10" s="1" t="s">
        <v>56</v>
      </c>
      <c r="D10" s="17"/>
      <c r="E10" s="17"/>
      <c r="F10" s="17"/>
      <c r="G10" s="17"/>
      <c r="H10" s="1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7"/>
      <c r="D11" s="17"/>
      <c r="E11" s="17"/>
      <c r="F11" s="17"/>
      <c r="G11" s="17"/>
      <c r="H11" s="1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8" t="s">
        <v>57</v>
      </c>
      <c r="D12" s="19"/>
      <c r="E12" s="19"/>
      <c r="F12" s="19"/>
      <c r="G12" s="19"/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0" customHeight="1">
      <c r="A13" s="1"/>
      <c r="B13" s="1"/>
      <c r="C13" s="21" t="s">
        <v>58</v>
      </c>
      <c r="D13" s="21" t="s">
        <v>59</v>
      </c>
      <c r="E13" s="21" t="s">
        <v>60</v>
      </c>
      <c r="F13" s="21" t="s">
        <v>61</v>
      </c>
      <c r="G13" s="21" t="s">
        <v>62</v>
      </c>
      <c r="H13" s="22" t="s">
        <v>63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23" t="s">
        <v>9</v>
      </c>
      <c r="D14" s="23" t="s">
        <v>9</v>
      </c>
      <c r="E14" s="23" t="s">
        <v>9</v>
      </c>
      <c r="F14" s="23" t="s">
        <v>9</v>
      </c>
      <c r="G14" s="23" t="s">
        <v>9</v>
      </c>
      <c r="H14" s="23" t="s">
        <v>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23" t="s">
        <v>9</v>
      </c>
      <c r="D15" s="23" t="s">
        <v>9</v>
      </c>
      <c r="E15" s="23" t="s">
        <v>9</v>
      </c>
      <c r="F15" s="23" t="s">
        <v>9</v>
      </c>
      <c r="G15" s="23" t="s">
        <v>9</v>
      </c>
      <c r="H15" s="23" t="s">
        <v>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</row>
    <row r="17" ht="12.75" customHeight="1">
      <c r="A17" s="1"/>
      <c r="B17" s="1" t="s">
        <v>64</v>
      </c>
      <c r="C17" s="1" t="s">
        <v>65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 t="s">
        <v>66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 t="s">
        <v>67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</row>
    <row r="21" ht="13.5" customHeight="1">
      <c r="A21" s="1"/>
      <c r="B21" s="1"/>
      <c r="C21" s="1"/>
      <c r="D21" s="1"/>
      <c r="E21" s="1"/>
      <c r="F21" s="1"/>
      <c r="G21" s="1"/>
      <c r="H21" s="1"/>
    </row>
    <row r="22" ht="13.5" customHeight="1">
      <c r="A22" s="1"/>
      <c r="B22" s="1"/>
      <c r="C22" s="1"/>
      <c r="D22" s="1"/>
      <c r="E22" s="1"/>
      <c r="F22" s="1"/>
      <c r="G22" s="1"/>
      <c r="H22" s="1"/>
    </row>
    <row r="23" ht="13.5" customHeight="1">
      <c r="A23" s="1"/>
      <c r="B23" s="1"/>
      <c r="C23" s="1"/>
      <c r="D23" s="1"/>
      <c r="E23" s="1"/>
      <c r="F23" s="1"/>
      <c r="G23" s="1"/>
      <c r="H23" s="1"/>
    </row>
    <row r="24" ht="13.5" customHeight="1">
      <c r="A24" s="1"/>
      <c r="B24" s="1"/>
      <c r="C24" s="1"/>
      <c r="D24" s="1"/>
      <c r="E24" s="1"/>
      <c r="F24" s="1"/>
      <c r="G24" s="1"/>
      <c r="H24" s="1"/>
    </row>
    <row r="25" ht="13.5" customHeight="1">
      <c r="A25" s="1"/>
      <c r="B25" s="1"/>
      <c r="C25" s="1"/>
      <c r="D25" s="1"/>
      <c r="E25" s="1"/>
      <c r="F25" s="1"/>
      <c r="G25" s="1"/>
      <c r="H25" s="1"/>
    </row>
    <row r="26" ht="13.5" customHeight="1">
      <c r="A26" s="1"/>
      <c r="B26" s="1"/>
      <c r="C26" s="1"/>
      <c r="D26" s="1"/>
      <c r="E26" s="1"/>
      <c r="F26" s="1"/>
      <c r="G26" s="1"/>
      <c r="H26" s="1"/>
    </row>
    <row r="27" ht="13.5" customHeight="1">
      <c r="A27" s="1"/>
      <c r="B27" s="1"/>
      <c r="C27" s="1"/>
      <c r="D27" s="1"/>
      <c r="E27" s="1"/>
      <c r="F27" s="1"/>
      <c r="G27" s="1"/>
      <c r="H27" s="1"/>
    </row>
    <row r="28" ht="13.5" customHeight="1">
      <c r="A28" s="1"/>
      <c r="B28" s="1"/>
      <c r="C28" s="1"/>
      <c r="D28" s="1"/>
      <c r="E28" s="1"/>
      <c r="F28" s="1"/>
      <c r="G28" s="1"/>
      <c r="H28" s="1"/>
    </row>
    <row r="29" ht="13.5" customHeight="1">
      <c r="A29" s="1"/>
      <c r="B29" s="1"/>
      <c r="C29" s="1"/>
      <c r="D29" s="1"/>
      <c r="E29" s="1"/>
      <c r="F29" s="1"/>
      <c r="G29" s="1"/>
      <c r="H29" s="1"/>
    </row>
    <row r="30" ht="13.5" customHeight="1">
      <c r="A30" s="1"/>
      <c r="B30" s="1"/>
      <c r="C30" s="1"/>
      <c r="D30" s="1"/>
      <c r="E30" s="1"/>
      <c r="F30" s="1"/>
      <c r="G30" s="1"/>
      <c r="H30" s="1"/>
    </row>
    <row r="31" ht="13.5" customHeight="1">
      <c r="A31" s="1"/>
      <c r="B31" s="1"/>
      <c r="C31" s="1"/>
      <c r="D31" s="1"/>
      <c r="E31" s="1"/>
      <c r="F31" s="1"/>
      <c r="G31" s="1"/>
      <c r="H31" s="1"/>
    </row>
    <row r="32" ht="13.5" customHeight="1">
      <c r="A32" s="1"/>
      <c r="B32" s="1"/>
      <c r="C32" s="1"/>
      <c r="D32" s="1"/>
      <c r="E32" s="1"/>
      <c r="F32" s="1"/>
      <c r="G32" s="1"/>
      <c r="H32" s="1"/>
    </row>
    <row r="33" ht="13.5" customHeight="1">
      <c r="A33" s="1"/>
      <c r="B33" s="1"/>
      <c r="C33" s="1"/>
      <c r="D33" s="1"/>
      <c r="E33" s="1"/>
      <c r="F33" s="1"/>
      <c r="G33" s="1"/>
      <c r="H33" s="1"/>
    </row>
    <row r="34" ht="13.5" customHeight="1">
      <c r="A34" s="1"/>
      <c r="B34" s="1"/>
      <c r="C34" s="1"/>
      <c r="D34" s="1"/>
      <c r="E34" s="1"/>
      <c r="F34" s="1"/>
      <c r="G34" s="1"/>
      <c r="H34" s="1"/>
    </row>
    <row r="35" ht="13.5" customHeight="1">
      <c r="A35" s="1"/>
      <c r="B35" s="1"/>
      <c r="C35" s="1"/>
      <c r="D35" s="1"/>
      <c r="E35" s="1"/>
      <c r="F35" s="1"/>
      <c r="G35" s="1"/>
      <c r="H35" s="1"/>
    </row>
    <row r="36" ht="13.5" customHeight="1">
      <c r="A36" s="1"/>
      <c r="B36" s="1"/>
      <c r="C36" s="1"/>
      <c r="D36" s="1"/>
      <c r="E36" s="1"/>
      <c r="F36" s="1"/>
      <c r="G36" s="1"/>
      <c r="H36" s="1"/>
    </row>
    <row r="37" ht="13.5" customHeight="1">
      <c r="A37" s="1"/>
      <c r="B37" s="1"/>
      <c r="C37" s="1"/>
      <c r="D37" s="1"/>
      <c r="E37" s="1"/>
      <c r="F37" s="1"/>
      <c r="G37" s="1"/>
      <c r="H37" s="1"/>
    </row>
    <row r="38" ht="13.5" customHeight="1">
      <c r="A38" s="1"/>
      <c r="B38" s="1"/>
      <c r="C38" s="1"/>
      <c r="D38" s="1"/>
      <c r="E38" s="1"/>
      <c r="F38" s="1"/>
      <c r="G38" s="1"/>
      <c r="H38" s="1"/>
    </row>
    <row r="39" ht="13.5" customHeight="1">
      <c r="A39" s="1"/>
      <c r="B39" s="1"/>
      <c r="C39" s="1"/>
      <c r="D39" s="1"/>
      <c r="E39" s="1"/>
      <c r="F39" s="1"/>
      <c r="G39" s="1"/>
      <c r="H39" s="1"/>
    </row>
    <row r="40" ht="13.5" customHeight="1">
      <c r="A40" s="1"/>
      <c r="B40" s="1"/>
      <c r="C40" s="1"/>
      <c r="D40" s="1"/>
      <c r="E40" s="1"/>
      <c r="F40" s="1"/>
      <c r="G40" s="1"/>
      <c r="H40" s="1"/>
    </row>
    <row r="41" ht="13.5" customHeight="1">
      <c r="A41" s="1"/>
      <c r="B41" s="1"/>
      <c r="C41" s="1"/>
      <c r="D41" s="1"/>
      <c r="E41" s="1"/>
      <c r="F41" s="1"/>
      <c r="G41" s="1"/>
      <c r="H41" s="1"/>
    </row>
    <row r="42" ht="13.5" customHeight="1">
      <c r="A42" s="1"/>
      <c r="B42" s="1"/>
      <c r="C42" s="1"/>
      <c r="D42" s="1"/>
      <c r="E42" s="1"/>
      <c r="F42" s="1"/>
      <c r="G42" s="1"/>
      <c r="H42" s="1"/>
    </row>
    <row r="43" ht="13.5" customHeight="1">
      <c r="A43" s="1"/>
      <c r="B43" s="1"/>
      <c r="C43" s="1"/>
      <c r="D43" s="1"/>
      <c r="E43" s="1"/>
      <c r="F43" s="1"/>
      <c r="G43" s="1"/>
      <c r="H43" s="1"/>
    </row>
    <row r="44" ht="13.5" customHeight="1">
      <c r="A44" s="1"/>
      <c r="B44" s="1"/>
      <c r="C44" s="1"/>
      <c r="D44" s="1"/>
      <c r="E44" s="1"/>
      <c r="F44" s="1"/>
      <c r="G44" s="1"/>
      <c r="H44" s="1"/>
    </row>
    <row r="45" ht="13.5" customHeight="1">
      <c r="A45" s="1"/>
      <c r="B45" s="1"/>
      <c r="C45" s="1"/>
      <c r="D45" s="1"/>
      <c r="E45" s="1"/>
      <c r="F45" s="1"/>
      <c r="G45" s="1"/>
      <c r="H45" s="1"/>
    </row>
    <row r="46" ht="13.5" customHeight="1">
      <c r="A46" s="1"/>
      <c r="B46" s="1"/>
      <c r="C46" s="1"/>
      <c r="D46" s="1"/>
      <c r="E46" s="1"/>
      <c r="F46" s="1"/>
      <c r="G46" s="1"/>
      <c r="H46" s="1"/>
    </row>
    <row r="47" ht="13.5" customHeight="1">
      <c r="A47" s="1"/>
      <c r="B47" s="1"/>
      <c r="C47" s="1"/>
      <c r="D47" s="1"/>
      <c r="E47" s="1"/>
      <c r="F47" s="1"/>
      <c r="G47" s="1"/>
      <c r="H47" s="1"/>
    </row>
    <row r="48" ht="13.5" customHeight="1">
      <c r="A48" s="1"/>
      <c r="B48" s="1"/>
      <c r="C48" s="1"/>
      <c r="D48" s="1"/>
      <c r="E48" s="1"/>
      <c r="F48" s="1"/>
      <c r="G48" s="1"/>
      <c r="H48" s="1"/>
    </row>
    <row r="49" ht="13.5" customHeight="1">
      <c r="A49" s="1"/>
      <c r="B49" s="1"/>
      <c r="C49" s="1"/>
      <c r="D49" s="1"/>
      <c r="E49" s="1"/>
      <c r="F49" s="1"/>
      <c r="G49" s="1"/>
      <c r="H49" s="1"/>
    </row>
    <row r="50" ht="13.5" customHeight="1">
      <c r="A50" s="1"/>
      <c r="B50" s="1"/>
      <c r="C50" s="1"/>
      <c r="D50" s="1"/>
      <c r="E50" s="1"/>
      <c r="F50" s="1"/>
      <c r="G50" s="1"/>
      <c r="H50" s="1"/>
    </row>
    <row r="51" ht="13.5" customHeight="1">
      <c r="A51" s="1"/>
      <c r="B51" s="1"/>
      <c r="C51" s="1"/>
      <c r="D51" s="1"/>
      <c r="E51" s="1"/>
      <c r="F51" s="1"/>
      <c r="G51" s="1"/>
      <c r="H51" s="1"/>
    </row>
    <row r="52" ht="13.5" customHeight="1">
      <c r="A52" s="1"/>
      <c r="B52" s="1"/>
      <c r="C52" s="1"/>
      <c r="D52" s="1"/>
      <c r="E52" s="1"/>
      <c r="F52" s="1"/>
      <c r="G52" s="1"/>
      <c r="H52" s="1"/>
    </row>
    <row r="53" ht="13.5" customHeight="1">
      <c r="A53" s="1"/>
      <c r="B53" s="1"/>
      <c r="C53" s="1"/>
      <c r="D53" s="1"/>
      <c r="E53" s="1"/>
      <c r="F53" s="1"/>
      <c r="G53" s="1"/>
      <c r="H53" s="1"/>
    </row>
    <row r="54" ht="13.5" customHeight="1">
      <c r="A54" s="1"/>
      <c r="B54" s="1"/>
      <c r="C54" s="1"/>
      <c r="D54" s="1"/>
      <c r="E54" s="1"/>
      <c r="F54" s="1"/>
      <c r="G54" s="1"/>
      <c r="H54" s="1"/>
    </row>
    <row r="55" ht="13.5" customHeight="1">
      <c r="A55" s="1"/>
      <c r="B55" s="1"/>
      <c r="C55" s="1"/>
      <c r="D55" s="1"/>
      <c r="E55" s="1"/>
      <c r="F55" s="1"/>
      <c r="G55" s="1"/>
      <c r="H55" s="1"/>
    </row>
    <row r="56" ht="13.5" customHeight="1">
      <c r="A56" s="1"/>
      <c r="B56" s="1"/>
      <c r="C56" s="1"/>
      <c r="D56" s="1"/>
      <c r="E56" s="1"/>
      <c r="F56" s="1"/>
      <c r="G56" s="1"/>
      <c r="H56" s="1"/>
    </row>
    <row r="57" ht="13.5" customHeight="1">
      <c r="A57" s="1"/>
      <c r="B57" s="1"/>
      <c r="C57" s="1"/>
      <c r="D57" s="1"/>
      <c r="E57" s="1"/>
      <c r="F57" s="1"/>
      <c r="G57" s="1"/>
      <c r="H57" s="1"/>
    </row>
    <row r="58" ht="13.5" customHeight="1">
      <c r="A58" s="1"/>
      <c r="B58" s="1"/>
      <c r="C58" s="1"/>
      <c r="D58" s="1"/>
      <c r="E58" s="1"/>
      <c r="F58" s="1"/>
      <c r="G58" s="1"/>
      <c r="H58" s="1"/>
    </row>
    <row r="59" ht="13.5" customHeight="1">
      <c r="A59" s="1"/>
      <c r="B59" s="1"/>
      <c r="C59" s="1"/>
      <c r="D59" s="1"/>
      <c r="E59" s="1"/>
      <c r="F59" s="1"/>
      <c r="G59" s="1"/>
      <c r="H59" s="1"/>
    </row>
    <row r="60" ht="13.5" customHeight="1">
      <c r="A60" s="1"/>
      <c r="B60" s="1"/>
      <c r="C60" s="1"/>
      <c r="D60" s="1"/>
      <c r="E60" s="1"/>
      <c r="F60" s="1"/>
      <c r="G60" s="1"/>
      <c r="H60" s="1"/>
    </row>
    <row r="61" ht="13.5" customHeight="1">
      <c r="A61" s="1"/>
      <c r="B61" s="1"/>
      <c r="C61" s="1"/>
      <c r="D61" s="1"/>
      <c r="E61" s="1"/>
      <c r="F61" s="1"/>
      <c r="G61" s="1"/>
      <c r="H61" s="1"/>
    </row>
    <row r="62" ht="13.5" customHeight="1">
      <c r="A62" s="1"/>
      <c r="B62" s="1"/>
      <c r="C62" s="1"/>
      <c r="D62" s="1"/>
      <c r="E62" s="1"/>
      <c r="F62" s="1"/>
      <c r="G62" s="1"/>
      <c r="H62" s="1"/>
    </row>
    <row r="63" ht="13.5" customHeight="1">
      <c r="A63" s="1"/>
      <c r="B63" s="1"/>
      <c r="C63" s="1"/>
      <c r="D63" s="1"/>
      <c r="E63" s="1"/>
      <c r="F63" s="1"/>
      <c r="G63" s="1"/>
      <c r="H63" s="1"/>
    </row>
    <row r="64" ht="13.5" customHeight="1">
      <c r="A64" s="1"/>
      <c r="B64" s="1"/>
      <c r="C64" s="1"/>
      <c r="D64" s="1"/>
      <c r="E64" s="1"/>
      <c r="F64" s="1"/>
      <c r="G64" s="1"/>
      <c r="H64" s="1"/>
    </row>
    <row r="65" ht="13.5" customHeight="1">
      <c r="A65" s="1"/>
      <c r="B65" s="1"/>
      <c r="C65" s="1"/>
      <c r="D65" s="1"/>
      <c r="E65" s="1"/>
      <c r="F65" s="1"/>
      <c r="G65" s="1"/>
      <c r="H65" s="1"/>
    </row>
    <row r="66" ht="13.5" customHeight="1">
      <c r="A66" s="1"/>
      <c r="B66" s="1"/>
      <c r="C66" s="1"/>
      <c r="D66" s="1"/>
      <c r="E66" s="1"/>
      <c r="F66" s="1"/>
      <c r="G66" s="1"/>
      <c r="H66" s="1"/>
    </row>
    <row r="67" ht="13.5" customHeight="1">
      <c r="A67" s="1"/>
      <c r="B67" s="1"/>
      <c r="C67" s="1"/>
      <c r="D67" s="1"/>
      <c r="E67" s="1"/>
      <c r="F67" s="1"/>
      <c r="G67" s="1"/>
      <c r="H67" s="1"/>
    </row>
    <row r="68" ht="13.5" customHeight="1">
      <c r="A68" s="1"/>
      <c r="B68" s="1"/>
      <c r="C68" s="1"/>
      <c r="D68" s="1"/>
      <c r="E68" s="1"/>
      <c r="F68" s="1"/>
      <c r="G68" s="1"/>
      <c r="H68" s="1"/>
    </row>
    <row r="69" ht="13.5" customHeight="1">
      <c r="A69" s="1"/>
      <c r="B69" s="1"/>
      <c r="C69" s="1"/>
      <c r="D69" s="1"/>
      <c r="E69" s="1"/>
      <c r="F69" s="1"/>
      <c r="G69" s="1"/>
      <c r="H69" s="1"/>
    </row>
    <row r="70" ht="13.5" customHeight="1">
      <c r="A70" s="1"/>
      <c r="B70" s="1"/>
      <c r="C70" s="1"/>
      <c r="D70" s="1"/>
      <c r="E70" s="1"/>
      <c r="F70" s="1"/>
      <c r="G70" s="1"/>
      <c r="H70" s="1"/>
    </row>
    <row r="71" ht="13.5" customHeight="1">
      <c r="A71" s="1"/>
      <c r="B71" s="1"/>
      <c r="C71" s="1"/>
      <c r="D71" s="1"/>
      <c r="E71" s="1"/>
      <c r="F71" s="1"/>
      <c r="G71" s="1"/>
      <c r="H71" s="1"/>
    </row>
    <row r="72" ht="13.5" customHeight="1">
      <c r="A72" s="1"/>
      <c r="B72" s="1"/>
      <c r="C72" s="1"/>
      <c r="D72" s="1"/>
      <c r="E72" s="1"/>
      <c r="F72" s="1"/>
      <c r="G72" s="1"/>
      <c r="H72" s="1"/>
    </row>
    <row r="73" ht="13.5" customHeight="1">
      <c r="A73" s="1"/>
      <c r="B73" s="1"/>
      <c r="C73" s="1"/>
      <c r="D73" s="1"/>
      <c r="E73" s="1"/>
      <c r="F73" s="1"/>
      <c r="G73" s="1"/>
      <c r="H73" s="1"/>
    </row>
    <row r="74" ht="13.5" customHeight="1">
      <c r="A74" s="1"/>
      <c r="B74" s="1"/>
      <c r="C74" s="1"/>
      <c r="D74" s="1"/>
      <c r="E74" s="1"/>
      <c r="F74" s="1"/>
      <c r="G74" s="1"/>
      <c r="H74" s="1"/>
    </row>
    <row r="75" ht="13.5" customHeight="1">
      <c r="A75" s="1"/>
      <c r="B75" s="1"/>
      <c r="C75" s="1"/>
      <c r="D75" s="1"/>
      <c r="E75" s="1"/>
      <c r="F75" s="1"/>
      <c r="G75" s="1"/>
      <c r="H75" s="1"/>
    </row>
    <row r="76" ht="13.5" customHeight="1">
      <c r="A76" s="1"/>
      <c r="B76" s="1"/>
      <c r="C76" s="1"/>
      <c r="D76" s="1"/>
      <c r="E76" s="1"/>
      <c r="F76" s="1"/>
      <c r="G76" s="1"/>
      <c r="H76" s="1"/>
    </row>
    <row r="77" ht="13.5" customHeight="1">
      <c r="A77" s="1"/>
      <c r="B77" s="1"/>
      <c r="C77" s="1"/>
      <c r="D77" s="1"/>
      <c r="E77" s="1"/>
      <c r="F77" s="1"/>
      <c r="G77" s="1"/>
      <c r="H77" s="1"/>
    </row>
    <row r="78" ht="13.5" customHeight="1">
      <c r="A78" s="1"/>
      <c r="B78" s="1"/>
      <c r="C78" s="1"/>
      <c r="D78" s="1"/>
      <c r="E78" s="1"/>
      <c r="F78" s="1"/>
      <c r="G78" s="1"/>
      <c r="H78" s="1"/>
    </row>
    <row r="79" ht="13.5" customHeight="1">
      <c r="A79" s="1"/>
      <c r="B79" s="1"/>
      <c r="C79" s="1"/>
      <c r="D79" s="1"/>
      <c r="E79" s="1"/>
      <c r="F79" s="1"/>
      <c r="G79" s="1"/>
      <c r="H79" s="1"/>
    </row>
    <row r="80" ht="13.5" customHeight="1">
      <c r="A80" s="1"/>
      <c r="B80" s="1"/>
      <c r="C80" s="1"/>
      <c r="D80" s="1"/>
      <c r="E80" s="1"/>
      <c r="F80" s="1"/>
      <c r="G80" s="1"/>
      <c r="H80" s="1"/>
    </row>
    <row r="81" ht="13.5" customHeight="1">
      <c r="A81" s="1"/>
      <c r="B81" s="1"/>
      <c r="C81" s="1"/>
      <c r="D81" s="1"/>
      <c r="E81" s="1"/>
      <c r="F81" s="1"/>
      <c r="G81" s="1"/>
      <c r="H81" s="1"/>
    </row>
    <row r="82" ht="13.5" customHeight="1">
      <c r="A82" s="1"/>
      <c r="B82" s="1"/>
      <c r="C82" s="1"/>
      <c r="D82" s="1"/>
      <c r="E82" s="1"/>
      <c r="F82" s="1"/>
      <c r="G82" s="1"/>
      <c r="H82" s="1"/>
    </row>
    <row r="83" ht="13.5" customHeight="1">
      <c r="A83" s="1"/>
      <c r="B83" s="1"/>
      <c r="C83" s="1"/>
      <c r="D83" s="1"/>
      <c r="E83" s="1"/>
      <c r="F83" s="1"/>
      <c r="G83" s="1"/>
      <c r="H83" s="1"/>
    </row>
    <row r="84" ht="13.5" customHeight="1">
      <c r="A84" s="1"/>
      <c r="B84" s="1"/>
      <c r="C84" s="1"/>
      <c r="D84" s="1"/>
      <c r="E84" s="1"/>
      <c r="F84" s="1"/>
      <c r="G84" s="1"/>
      <c r="H84" s="1"/>
    </row>
    <row r="85" ht="13.5" customHeight="1">
      <c r="A85" s="1"/>
      <c r="B85" s="1"/>
      <c r="C85" s="1"/>
      <c r="D85" s="1"/>
      <c r="E85" s="1"/>
      <c r="F85" s="1"/>
      <c r="G85" s="1"/>
      <c r="H85" s="1"/>
    </row>
    <row r="86" ht="13.5" customHeight="1">
      <c r="A86" s="1"/>
      <c r="B86" s="1"/>
      <c r="C86" s="1"/>
      <c r="D86" s="1"/>
      <c r="E86" s="1"/>
      <c r="F86" s="1"/>
      <c r="G86" s="1"/>
      <c r="H86" s="1"/>
    </row>
    <row r="87" ht="13.5" customHeight="1">
      <c r="A87" s="1"/>
      <c r="B87" s="1"/>
      <c r="C87" s="1"/>
      <c r="D87" s="1"/>
      <c r="E87" s="1"/>
      <c r="F87" s="1"/>
      <c r="G87" s="1"/>
      <c r="H87" s="1"/>
    </row>
    <row r="88" ht="13.5" customHeight="1">
      <c r="A88" s="1"/>
      <c r="B88" s="1"/>
      <c r="C88" s="1"/>
      <c r="D88" s="1"/>
      <c r="E88" s="1"/>
      <c r="F88" s="1"/>
      <c r="G88" s="1"/>
      <c r="H88" s="1"/>
    </row>
    <row r="89" ht="13.5" customHeight="1">
      <c r="A89" s="1"/>
      <c r="B89" s="1"/>
      <c r="C89" s="1"/>
      <c r="D89" s="1"/>
      <c r="E89" s="1"/>
      <c r="F89" s="1"/>
      <c r="G89" s="1"/>
      <c r="H89" s="1"/>
    </row>
    <row r="90" ht="13.5" customHeight="1">
      <c r="A90" s="1"/>
      <c r="B90" s="1"/>
      <c r="C90" s="1"/>
      <c r="D90" s="1"/>
      <c r="E90" s="1"/>
      <c r="F90" s="1"/>
      <c r="G90" s="1"/>
      <c r="H90" s="1"/>
    </row>
    <row r="91" ht="13.5" customHeight="1">
      <c r="A91" s="1"/>
      <c r="B91" s="1"/>
      <c r="C91" s="1"/>
      <c r="D91" s="1"/>
      <c r="E91" s="1"/>
      <c r="F91" s="1"/>
      <c r="G91" s="1"/>
      <c r="H91" s="1"/>
    </row>
    <row r="92" ht="13.5" customHeight="1">
      <c r="A92" s="1"/>
      <c r="B92" s="1"/>
      <c r="C92" s="1"/>
      <c r="D92" s="1"/>
      <c r="E92" s="1"/>
      <c r="F92" s="1"/>
      <c r="G92" s="1"/>
      <c r="H92" s="1"/>
    </row>
    <row r="93" ht="13.5" customHeight="1">
      <c r="A93" s="1"/>
      <c r="B93" s="1"/>
      <c r="C93" s="1"/>
      <c r="D93" s="1"/>
      <c r="E93" s="1"/>
      <c r="F93" s="1"/>
      <c r="G93" s="1"/>
      <c r="H93" s="1"/>
    </row>
    <row r="94" ht="13.5" customHeight="1">
      <c r="A94" s="1"/>
      <c r="B94" s="1"/>
      <c r="C94" s="1"/>
      <c r="D94" s="1"/>
      <c r="E94" s="1"/>
      <c r="F94" s="1"/>
      <c r="G94" s="1"/>
      <c r="H94" s="1"/>
    </row>
    <row r="95" ht="13.5" customHeight="1">
      <c r="A95" s="1"/>
      <c r="B95" s="1"/>
      <c r="C95" s="1"/>
      <c r="D95" s="1"/>
      <c r="E95" s="1"/>
      <c r="F95" s="1"/>
      <c r="G95" s="1"/>
      <c r="H95" s="1"/>
    </row>
    <row r="96" ht="13.5" customHeight="1">
      <c r="A96" s="1"/>
      <c r="B96" s="1"/>
      <c r="C96" s="1"/>
      <c r="D96" s="1"/>
      <c r="E96" s="1"/>
      <c r="F96" s="1"/>
      <c r="G96" s="1"/>
      <c r="H96" s="1"/>
    </row>
    <row r="97" ht="13.5" customHeight="1">
      <c r="A97" s="1"/>
      <c r="B97" s="1"/>
      <c r="C97" s="1"/>
      <c r="D97" s="1"/>
      <c r="E97" s="1"/>
      <c r="F97" s="1"/>
      <c r="G97" s="1"/>
      <c r="H97" s="1"/>
    </row>
    <row r="98" ht="13.5" customHeight="1">
      <c r="A98" s="1"/>
      <c r="B98" s="1"/>
      <c r="C98" s="1"/>
      <c r="D98" s="1"/>
      <c r="E98" s="1"/>
      <c r="F98" s="1"/>
      <c r="G98" s="1"/>
      <c r="H98" s="1"/>
    </row>
    <row r="99" ht="13.5" customHeight="1">
      <c r="A99" s="1"/>
      <c r="B99" s="1"/>
      <c r="C99" s="1"/>
      <c r="D99" s="1"/>
      <c r="E99" s="1"/>
      <c r="F99" s="1"/>
      <c r="G99" s="1"/>
      <c r="H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C2"/>
    <mergeCell ref="C3:F4"/>
    <mergeCell ref="B6:C6"/>
    <mergeCell ref="C12:H1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23.29"/>
    <col customWidth="1" min="3" max="3" width="22.57"/>
    <col customWidth="1" min="4" max="4" width="23.57"/>
    <col customWidth="1" min="5" max="5" width="16.71"/>
    <col customWidth="1" min="6" max="6" width="21.71"/>
    <col customWidth="1" min="7" max="7" width="17.0"/>
    <col customWidth="1" min="8" max="26" width="8.71"/>
  </cols>
  <sheetData>
    <row r="1" ht="13.5" customHeight="1">
      <c r="A1" s="24" t="s">
        <v>68</v>
      </c>
      <c r="B1" s="24"/>
      <c r="C1" s="24"/>
      <c r="D1" s="24"/>
      <c r="E1" s="24"/>
      <c r="F1" s="24"/>
      <c r="G1" s="24"/>
      <c r="H1" s="24"/>
      <c r="I1" s="24"/>
      <c r="J1" s="24"/>
    </row>
    <row r="2" ht="13.5" customHeight="1">
      <c r="A2" s="25" t="s">
        <v>58</v>
      </c>
      <c r="B2" s="25" t="s">
        <v>59</v>
      </c>
      <c r="C2" s="25" t="s">
        <v>60</v>
      </c>
      <c r="D2" s="25" t="s">
        <v>61</v>
      </c>
      <c r="E2" s="25" t="s">
        <v>69</v>
      </c>
      <c r="F2" s="25" t="s">
        <v>63</v>
      </c>
      <c r="G2" s="25" t="s">
        <v>70</v>
      </c>
      <c r="H2" s="25" t="s">
        <v>71</v>
      </c>
      <c r="I2" s="25" t="s">
        <v>72</v>
      </c>
      <c r="J2" s="25" t="s">
        <v>73</v>
      </c>
    </row>
    <row r="3" ht="13.5" customHeight="1">
      <c r="A3" s="26" t="s">
        <v>74</v>
      </c>
      <c r="B3" s="27">
        <f>COUNTIF('Задание 2 (Рабочий лист)'!$B$3:$B$502, A3)</f>
        <v>80</v>
      </c>
      <c r="C3" s="28">
        <f>AVERAGEIF('Задание 2 (Рабочий лист)'!$B$3:$B$502, A3, 'Задание 2 (Рабочий лист)'!$I$3:$I$502)</f>
        <v>39498.49988</v>
      </c>
      <c r="D3" s="28">
        <f>IFERROR(__xludf.DUMMYFUNCTION("MEDIAN(FILTER('Задание 2 (Рабочий лист)'!$I$3:$I$502, 'Задание 2 (Рабочий лист)'!$B$3:$B$502 = A3))
"),4135.475)</f>
        <v>4135.475</v>
      </c>
      <c r="E3" s="28">
        <f>SUMIF('Задание 2 (Рабочий лист)'!$B$3:$B$502, A3, 'Задание 2 (Рабочий лист)'!$I$3:$I$502)</f>
        <v>3159879.99</v>
      </c>
      <c r="F3" s="29">
        <f>IFERROR(__xludf.DUMMYFUNCTION("SUM(ARRAY_CONSTRAIN(SORT(FILTER('Задание 2 (Рабочий лист)'!$I$2:$I$502, 'Задание 2 (Рабочий лист)'!$B$2:$B$502 = A3), 1, FALSE), ROUND(COUNTIF('Задание 2 (Рабочий лист)'!$B$2:$B$502, A3) * 0.1), 1)) / SUMIF('Задание 2 (Рабочий лист)'!$B$2:$B$502, A3, 'Зад"&amp;"ание 2 (Рабочий лист)'!$I$2:$I$502)
"),0.6481295544391857)</f>
        <v>0.6481295544</v>
      </c>
      <c r="G3" s="30">
        <f>AVERAGEIF('Задание 2 (Рабочий лист)'!$B$3:$B$502, A3, 'Задание 2 (Рабочий лист)'!$E$3:$E$502)
</f>
        <v>886450.0125</v>
      </c>
      <c r="H3" s="31">
        <f>SUMIF('Задание 2 (Рабочий лист)'!$B$3:$B$502, A3, 'Задание 2 (Рабочий лист)'!$H$3:$H$502) / SUMIF('Задание 2 (Рабочий лист)'!$B$3:$B$502, A3, 'Задание 2 (Рабочий лист)'!$E$3:$E$502) * 1000
</f>
        <v>5.435247258</v>
      </c>
      <c r="I3" s="31">
        <f>SUMIF('Задание 2 (Рабочий лист)'!$B$3:$B$502, A3, 'Задание 2 (Рабочий лист)'!$G$3:$G$502) / SUMIF('Задание 2 (Рабочий лист)'!$B$3:$B$502, A3, 'Задание 2 (Рабочий лист)'!$E$3:$E$502) * 1000
</f>
        <v>89.00742906</v>
      </c>
      <c r="J3" s="31">
        <f>SUMIF('Задание 2 (Рабочий лист)'!$B$3:$B$502, A3, 'Задание 2 (Рабочий лист)'!$I$3:$I$502) / SUMIF('Задание 2 (Рабочий лист)'!$B$3:$B$502, A3, 'Задание 2 (Рабочий лист)'!$E$3:$E$502) * 1000
</f>
        <v>44.55806793</v>
      </c>
    </row>
    <row r="4" ht="13.5" customHeight="1">
      <c r="A4" s="26" t="s">
        <v>75</v>
      </c>
      <c r="B4" s="27">
        <f>COUNTIF('Задание 2 (Рабочий лист)'!$B$3:$B$502, A4)</f>
        <v>100</v>
      </c>
      <c r="C4" s="28">
        <f>AVERAGEIF('Задание 2 (Рабочий лист)'!$B$3:$B$502, A4, 'Задание 2 (Рабочий лист)'!$I$3:$I$502)</f>
        <v>58990.7995</v>
      </c>
      <c r="D4" s="28">
        <f>IFERROR(__xludf.DUMMYFUNCTION("MEDIAN(FILTER('Задание 2 (Рабочий лист)'!$I$3:$I$502, 'Задание 2 (Рабочий лист)'!$B$3:$B$502 = A4))
"),9886.54)</f>
        <v>9886.54</v>
      </c>
      <c r="E4" s="28">
        <f>SUMIF('Задание 2 (Рабочий лист)'!$B$3:$B$502, A4, 'Задание 2 (Рабочий лист)'!$I$3:$I$502)</f>
        <v>5899079.95</v>
      </c>
      <c r="F4" s="29">
        <f>IFERROR(__xludf.DUMMYFUNCTION("SUM(ARRAY_CONSTRAIN(SORT(FILTER('Задание 2 (Рабочий лист)'!$I$2:$I$502, 'Задание 2 (Рабочий лист)'!$B$2:$B$502 = A4), 1, FALSE), ROUND(COUNTIF('Задание 2 (Рабочий лист)'!$B$2:$B$502, A4) * 0.1), 1)) / SUMIF('Задание 2 (Рабочий лист)'!$B$2:$B$502, A4, 'Зад"&amp;"ание 2 (Рабочий лист)'!$I$2:$I$502)
"),0.5126589511640708)</f>
        <v>0.5126589512</v>
      </c>
      <c r="G4" s="30">
        <f>AVERAGEIF('Задание 2 (Рабочий лист)'!$B$3:$B$502, A4, 'Задание 2 (Рабочий лист)'!$E$3:$E$502)
</f>
        <v>961354.66</v>
      </c>
      <c r="H4" s="31">
        <f>SUMIF('Задание 2 (Рабочий лист)'!$B$3:$B$502, A4, 'Задание 2 (Рабочий лист)'!$H$3:$H$502) / SUMIF('Задание 2 (Рабочий лист)'!$B$3:$B$502, A4, 'Задание 2 (Рабочий лист)'!$E$3:$E$502) * 1000
</f>
        <v>5.373240714</v>
      </c>
      <c r="I4" s="31">
        <f>SUMIF('Задание 2 (Рабочий лист)'!$B$3:$B$502, A4, 'Задание 2 (Рабочий лист)'!$G$3:$G$502) / SUMIF('Задание 2 (Рабочий лист)'!$B$3:$B$502, A4, 'Задание 2 (Рабочий лист)'!$E$3:$E$502) * 1000
</f>
        <v>122.6168573</v>
      </c>
      <c r="J4" s="31">
        <f>SUMIF('Задание 2 (Рабочий лист)'!$B$3:$B$502, A4, 'Задание 2 (Рабочий лист)'!$I$3:$I$502) / SUMIF('Задание 2 (Рабочий лист)'!$B$3:$B$502, A4, 'Задание 2 (Рабочий лист)'!$E$3:$E$502) * 1000
</f>
        <v>61.36216108</v>
      </c>
    </row>
    <row r="5" ht="13.5" customHeight="1">
      <c r="A5" s="26" t="s">
        <v>76</v>
      </c>
      <c r="B5" s="27">
        <f>COUNTIF('Задание 2 (Рабочий лист)'!$B$3:$B$502, A5)</f>
        <v>100</v>
      </c>
      <c r="C5" s="28">
        <f>AVERAGEIF('Задание 2 (Рабочий лист)'!$B$3:$B$502, A5, 'Задание 2 (Рабочий лист)'!$I$3:$I$502)</f>
        <v>52187.2902</v>
      </c>
      <c r="D5" s="28">
        <f>IFERROR(__xludf.DUMMYFUNCTION("MEDIAN(FILTER('Задание 2 (Рабочий лист)'!$I$3:$I$502, 'Задание 2 (Рабочий лист)'!$B$3:$B$502 = A5))
"),7782.66)</f>
        <v>7782.66</v>
      </c>
      <c r="E5" s="28">
        <f>SUMIF('Задание 2 (Рабочий лист)'!$B$3:$B$502, A5, 'Задание 2 (Рабочий лист)'!$I$3:$I$502)</f>
        <v>5218729.02</v>
      </c>
      <c r="F5" s="29">
        <f>IFERROR(__xludf.DUMMYFUNCTION("SUM(ARRAY_CONSTRAIN(SORT(FILTER('Задание 2 (Рабочий лист)'!$I$2:$I$502, 'Задание 2 (Рабочий лист)'!$B$2:$B$502 = A5), 1, FALSE), ROUND(COUNTIF('Задание 2 (Рабочий лист)'!$B$2:$B$502, A5) * 0.1), 1)) / SUMIF('Задание 2 (Рабочий лист)'!$B$2:$B$502, A5, 'Зад"&amp;"ание 2 (Рабочий лист)'!$I$2:$I$502)
"),0.44881700334002056)</f>
        <v>0.4488170033</v>
      </c>
      <c r="G5" s="30">
        <f>AVERAGEIF('Задание 2 (Рабочий лист)'!$B$3:$B$502, A5, 'Задание 2 (Рабочий лист)'!$E$3:$E$502)
</f>
        <v>1103693.69</v>
      </c>
      <c r="H5" s="31">
        <f>SUMIF('Задание 2 (Рабочий лист)'!$B$3:$B$502, A5, 'Задание 2 (Рабочий лист)'!$H$3:$H$502) / SUMIF('Задание 2 (Рабочий лист)'!$B$3:$B$502, A5, 'Задание 2 (Рабочий лист)'!$E$3:$E$502) * 1000
</f>
        <v>5.286013731</v>
      </c>
      <c r="I5" s="31">
        <f>SUMIF('Задание 2 (Рабочий лист)'!$B$3:$B$502, A5, 'Задание 2 (Рабочий лист)'!$G$3:$G$502) / SUMIF('Задание 2 (Рабочий лист)'!$B$3:$B$502, A5, 'Задание 2 (Рабочий лист)'!$E$3:$E$502) * 1000
</f>
        <v>94.46271039</v>
      </c>
      <c r="J5" s="31">
        <f>SUMIF('Задание 2 (Рабочий лист)'!$B$3:$B$502, A5, 'Задание 2 (Рабочий лист)'!$I$3:$I$502) / SUMIF('Задание 2 (Рабочий лист)'!$B$3:$B$502, A5, 'Задание 2 (Рабочий лист)'!$E$3:$E$502) * 1000
</f>
        <v>47.28421542</v>
      </c>
    </row>
    <row r="6" ht="13.5" customHeight="1">
      <c r="A6" s="26" t="s">
        <v>77</v>
      </c>
      <c r="B6" s="27">
        <f>COUNTIF('Задание 2 (Рабочий лист)'!$B$3:$B$502, A6)</f>
        <v>70</v>
      </c>
      <c r="C6" s="28">
        <f>AVERAGEIF('Задание 2 (Рабочий лист)'!$B$3:$B$502, A6, 'Задание 2 (Рабочий лист)'!$I$3:$I$502)</f>
        <v>27329.02657</v>
      </c>
      <c r="D6" s="28">
        <f>IFERROR(__xludf.DUMMYFUNCTION("MEDIAN(FILTER('Задание 2 (Рабочий лист)'!$I$3:$I$502, 'Задание 2 (Рабочий лист)'!$B$3:$B$502 = A6))
"),5262.360000000001)</f>
        <v>5262.36</v>
      </c>
      <c r="E6" s="28">
        <f>SUMIF('Задание 2 (Рабочий лист)'!$B$3:$B$502, A6, 'Задание 2 (Рабочий лист)'!$I$3:$I$502)</f>
        <v>1913031.86</v>
      </c>
      <c r="F6" s="29">
        <f>IFERROR(__xludf.DUMMYFUNCTION("SUM(ARRAY_CONSTRAIN(SORT(FILTER('Задание 2 (Рабочий лист)'!$I$2:$I$502, 'Задание 2 (Рабочий лист)'!$B$2:$B$502 = A6), 1, FALSE), ROUND(COUNTIF('Задание 2 (Рабочий лист)'!$B$2:$B$502, A6) * 0.1), 1)) / SUMIF('Задание 2 (Рабочий лист)'!$B$2:$B$502, A6, 'Зад"&amp;"ание 2 (Рабочий лист)'!$I$2:$I$502)
"),0.5395711600955776)</f>
        <v>0.5395711601</v>
      </c>
      <c r="G6" s="30">
        <f>AVERAGEIF('Задание 2 (Рабочий лист)'!$B$3:$B$502, A6, 'Задание 2 (Рабочий лист)'!$E$3:$E$502)
</f>
        <v>614135.0571</v>
      </c>
      <c r="H6" s="31">
        <f>SUMIF('Задание 2 (Рабочий лист)'!$B$3:$B$502, A6, 'Задание 2 (Рабочий лист)'!$H$3:$H$502) / SUMIF('Задание 2 (Рабочий лист)'!$B$3:$B$502, A6, 'Задание 2 (Рабочий лист)'!$E$3:$E$502) * 1000
</f>
        <v>5.427656746</v>
      </c>
      <c r="I6" s="31">
        <f>SUMIF('Задание 2 (Рабочий лист)'!$B$3:$B$502, A6, 'Задание 2 (Рабочий лист)'!$G$3:$G$502) / SUMIF('Задание 2 (Рабочий лист)'!$B$3:$B$502, A6, 'Задание 2 (Рабочий лист)'!$E$3:$E$502) * 1000
</f>
        <v>88.89149958</v>
      </c>
      <c r="J6" s="31">
        <f>SUMIF('Задание 2 (Рабочий лист)'!$B$3:$B$502, A6, 'Задание 2 (Рабочий лист)'!$I$3:$I$502) / SUMIF('Задание 2 (Рабочий лист)'!$B$3:$B$502, A6, 'Задание 2 (Рабочий лист)'!$E$3:$E$502) * 1000
</f>
        <v>44.50002691</v>
      </c>
    </row>
    <row r="7" ht="13.5" customHeight="1">
      <c r="A7" s="26" t="s">
        <v>78</v>
      </c>
      <c r="B7" s="27">
        <f>COUNTIF('Задание 2 (Рабочий лист)'!$B$3:$B$502, A7)</f>
        <v>150</v>
      </c>
      <c r="C7" s="28">
        <f>AVERAGEIF('Задание 2 (Рабочий лист)'!$B$3:$B$502, A7, 'Задание 2 (Рабочий лист)'!$I$3:$I$502)</f>
        <v>18187.24807</v>
      </c>
      <c r="D7" s="28">
        <f>IFERROR(__xludf.DUMMYFUNCTION("MEDIAN(FILTER('Задание 2 (Рабочий лист)'!$I$3:$I$502, 'Задание 2 (Рабочий лист)'!$B$3:$B$502 = A7))
"),2477.755)</f>
        <v>2477.755</v>
      </c>
      <c r="E7" s="28">
        <f>SUMIF('Задание 2 (Рабочий лист)'!$B$3:$B$502, A7, 'Задание 2 (Рабочий лист)'!$I$3:$I$502)</f>
        <v>2728087.21</v>
      </c>
      <c r="F7" s="29">
        <f>IFERROR(__xludf.DUMMYFUNCTION("SUM(ARRAY_CONSTRAIN(SORT(FILTER('Задание 2 (Рабочий лист)'!$I$2:$I$502, 'Задание 2 (Рабочий лист)'!$B$2:$B$502 = A7), 1, FALSE), ROUND(COUNTIF('Задание 2 (Рабочий лист)'!$B$2:$B$502, A7) * 0.1), 1)) / SUMIF('Задание 2 (Рабочий лист)'!$B$2:$B$502, A7, 'Зад"&amp;"ание 2 (Рабочий лист)'!$I$2:$I$502)
"),0.8182565028777071)</f>
        <v>0.8182565029</v>
      </c>
      <c r="G7" s="30">
        <f>AVERAGEIF('Задание 2 (Рабочий лист)'!$B$3:$B$502, A7, 'Задание 2 (Рабочий лист)'!$E$3:$E$502)
</f>
        <v>362877.82</v>
      </c>
      <c r="H7" s="31">
        <f>SUMIF('Задание 2 (Рабочий лист)'!$B$3:$B$502, A7, 'Задание 2 (Рабочий лист)'!$H$3:$H$502) / SUMIF('Задание 2 (Рабочий лист)'!$B$3:$B$502, A7, 'Задание 2 (Рабочий лист)'!$E$3:$E$502) * 1000
</f>
        <v>5.707540902</v>
      </c>
      <c r="I7" s="31">
        <f>SUMIF('Задание 2 (Рабочий лист)'!$B$3:$B$502, A7, 'Задание 2 (Рабочий лист)'!$G$3:$G$502) / SUMIF('Задание 2 (Рабочий лист)'!$B$3:$B$502, A7, 'Задание 2 (Рабочий лист)'!$E$3:$E$502) * 1000
</f>
        <v>100.1248097</v>
      </c>
      <c r="J7" s="31">
        <f>SUMIF('Задание 2 (Рабочий лист)'!$B$3:$B$502, A7, 'Задание 2 (Рабочий лист)'!$I$3:$I$502) / SUMIF('Задание 2 (Рабочий лист)'!$B$3:$B$502, A7, 'Задание 2 (Рабочий лист)'!$E$3:$E$502) * 1000
</f>
        <v>50.11948117</v>
      </c>
    </row>
    <row r="8" ht="13.5" customHeight="1">
      <c r="A8" s="32"/>
      <c r="B8" s="32"/>
      <c r="C8" s="32"/>
      <c r="D8" s="32"/>
      <c r="E8" s="32"/>
      <c r="F8" s="32"/>
      <c r="G8" s="32"/>
      <c r="H8" s="1"/>
      <c r="I8" s="1"/>
      <c r="J8" s="1"/>
    </row>
    <row r="9" ht="13.5" customHeight="1">
      <c r="A9" s="33" t="s">
        <v>79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>
      <c r="A18" s="32"/>
      <c r="B18" s="32"/>
      <c r="C18" s="32"/>
      <c r="D18" s="32"/>
      <c r="E18" s="32"/>
      <c r="F18" s="32"/>
      <c r="G18" s="32"/>
      <c r="H18" s="1"/>
      <c r="I18" s="1"/>
      <c r="J18" s="1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9:J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2" width="5.29"/>
    <col customWidth="1" min="3" max="3" width="3.71"/>
    <col customWidth="1" min="4" max="26" width="12.71"/>
  </cols>
  <sheetData>
    <row r="1" ht="13.5" customHeight="1">
      <c r="A1" s="1"/>
      <c r="B1" s="1"/>
      <c r="C1" s="1"/>
    </row>
    <row r="2" ht="15.0" customHeight="1">
      <c r="A2" s="1"/>
      <c r="B2" s="2" t="s">
        <v>80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34" t="s">
        <v>3</v>
      </c>
      <c r="C3" s="1" t="s">
        <v>81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 t="s">
        <v>82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 t="s">
        <v>83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9.25" customHeight="1">
      <c r="A6" s="1"/>
      <c r="B6" s="1"/>
      <c r="C6" s="35" t="s">
        <v>84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</row>
    <row r="8" ht="12.75" customHeight="1">
      <c r="A8" s="1"/>
      <c r="B8" s="34" t="s">
        <v>17</v>
      </c>
      <c r="C8" s="1" t="s">
        <v>85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 t="s">
        <v>86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 t="s">
        <v>87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 t="s">
        <v>88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 t="s">
        <v>89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 t="s">
        <v>90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 t="s">
        <v>91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 t="s">
        <v>92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34" t="s">
        <v>19</v>
      </c>
      <c r="C17" s="1" t="s">
        <v>93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 t="s">
        <v>94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 t="s">
        <v>95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 t="s">
        <v>96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</row>
    <row r="22" ht="15.0" customHeight="1">
      <c r="A22" s="1"/>
      <c r="B22" s="2" t="s">
        <v>97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34" t="s">
        <v>3</v>
      </c>
      <c r="C23" s="1" t="s">
        <v>98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58.5" customHeight="1">
      <c r="A24" s="1"/>
      <c r="B24" s="1"/>
      <c r="C24" s="1"/>
      <c r="D24" s="35" t="s">
        <v>99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</row>
    <row r="26" ht="12.75" customHeight="1">
      <c r="A26" s="1"/>
      <c r="B26" s="34" t="s">
        <v>17</v>
      </c>
      <c r="C26" s="1" t="s">
        <v>100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 t="s">
        <v>101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</row>
    <row r="29" ht="12.75" customHeight="1">
      <c r="A29" s="1"/>
      <c r="B29" s="34" t="s">
        <v>19</v>
      </c>
      <c r="C29" s="1" t="s">
        <v>102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2.75" customHeight="1">
      <c r="A30" s="1"/>
      <c r="B30" s="1"/>
      <c r="C30" s="1"/>
      <c r="D30" s="35" t="s">
        <v>103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</row>
    <row r="32" ht="12.75" customHeight="1">
      <c r="A32" s="1"/>
      <c r="B32" s="34" t="s">
        <v>55</v>
      </c>
      <c r="C32" s="1" t="s">
        <v>69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 t="s">
        <v>104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</row>
    <row r="35" ht="13.5" customHeight="1">
      <c r="A35" s="1"/>
      <c r="B35" s="1"/>
      <c r="C35" s="1"/>
    </row>
    <row r="36" ht="13.5" customHeight="1">
      <c r="A36" s="1"/>
      <c r="B36" s="1"/>
      <c r="C36" s="1"/>
    </row>
    <row r="37" ht="13.5" customHeight="1">
      <c r="A37" s="1"/>
      <c r="B37" s="1"/>
      <c r="C37" s="1"/>
    </row>
    <row r="38" ht="13.5" customHeight="1">
      <c r="A38" s="1"/>
      <c r="B38" s="1"/>
      <c r="C38" s="1"/>
    </row>
    <row r="39" ht="13.5" customHeight="1">
      <c r="A39" s="1"/>
      <c r="B39" s="1"/>
      <c r="C39" s="1"/>
    </row>
    <row r="40" ht="13.5" customHeight="1">
      <c r="A40" s="1"/>
      <c r="B40" s="1"/>
      <c r="C40" s="1"/>
    </row>
    <row r="41" ht="13.5" customHeight="1">
      <c r="A41" s="1"/>
      <c r="B41" s="1"/>
      <c r="C41" s="1"/>
    </row>
    <row r="42" ht="13.5" customHeight="1">
      <c r="A42" s="1"/>
      <c r="B42" s="1"/>
      <c r="C42" s="1"/>
    </row>
    <row r="43" ht="13.5" customHeight="1">
      <c r="A43" s="1"/>
      <c r="B43" s="1"/>
      <c r="C43" s="1"/>
    </row>
    <row r="44" ht="13.5" customHeight="1">
      <c r="A44" s="1"/>
      <c r="B44" s="1"/>
      <c r="C44" s="1"/>
    </row>
    <row r="45" ht="13.5" customHeight="1">
      <c r="A45" s="1"/>
      <c r="B45" s="1"/>
      <c r="C45" s="1"/>
    </row>
    <row r="46" ht="13.5" customHeight="1">
      <c r="A46" s="1"/>
      <c r="B46" s="1"/>
      <c r="C46" s="1"/>
    </row>
    <row r="47" ht="13.5" customHeight="1">
      <c r="A47" s="1"/>
      <c r="B47" s="1"/>
      <c r="C47" s="1"/>
    </row>
    <row r="48" ht="13.5" customHeight="1">
      <c r="A48" s="1"/>
      <c r="B48" s="1"/>
      <c r="C48" s="1"/>
    </row>
    <row r="49" ht="13.5" customHeight="1">
      <c r="A49" s="1"/>
      <c r="B49" s="1"/>
      <c r="C49" s="1"/>
    </row>
    <row r="50" ht="13.5" customHeight="1">
      <c r="A50" s="1"/>
      <c r="B50" s="1"/>
      <c r="C50" s="1"/>
    </row>
    <row r="51" ht="13.5" customHeight="1">
      <c r="A51" s="1"/>
      <c r="B51" s="1"/>
      <c r="C51" s="1"/>
    </row>
    <row r="52" ht="13.5" customHeight="1">
      <c r="A52" s="1"/>
      <c r="B52" s="1"/>
      <c r="C52" s="1"/>
    </row>
    <row r="53" ht="13.5" customHeight="1">
      <c r="A53" s="1"/>
      <c r="B53" s="1"/>
      <c r="C53" s="1"/>
    </row>
    <row r="54" ht="13.5" customHeight="1">
      <c r="A54" s="1"/>
      <c r="B54" s="1"/>
      <c r="C54" s="1"/>
    </row>
    <row r="55" ht="13.5" customHeight="1">
      <c r="A55" s="1"/>
      <c r="B55" s="1"/>
      <c r="C55" s="1"/>
    </row>
    <row r="56" ht="13.5" customHeight="1">
      <c r="A56" s="1"/>
      <c r="B56" s="1"/>
      <c r="C56" s="1"/>
    </row>
    <row r="57" ht="13.5" customHeight="1">
      <c r="A57" s="1"/>
      <c r="B57" s="1"/>
      <c r="C57" s="1"/>
    </row>
    <row r="58" ht="13.5" customHeight="1">
      <c r="A58" s="1"/>
      <c r="B58" s="1"/>
      <c r="C58" s="1"/>
    </row>
    <row r="59" ht="13.5" customHeight="1">
      <c r="A59" s="1"/>
      <c r="B59" s="1"/>
      <c r="C59" s="1"/>
    </row>
    <row r="60" ht="13.5" customHeight="1">
      <c r="A60" s="1"/>
      <c r="B60" s="1"/>
      <c r="C60" s="1"/>
    </row>
    <row r="61" ht="13.5" customHeight="1">
      <c r="A61" s="1"/>
      <c r="B61" s="1"/>
      <c r="C61" s="1"/>
    </row>
    <row r="62" ht="13.5" customHeight="1">
      <c r="A62" s="1"/>
      <c r="B62" s="1"/>
      <c r="C62" s="1"/>
    </row>
    <row r="63" ht="13.5" customHeight="1">
      <c r="A63" s="1"/>
      <c r="B63" s="1"/>
      <c r="C63" s="1"/>
    </row>
    <row r="64" ht="13.5" customHeight="1">
      <c r="A64" s="1"/>
      <c r="B64" s="1"/>
      <c r="C64" s="1"/>
    </row>
    <row r="65" ht="13.5" customHeight="1">
      <c r="A65" s="1"/>
      <c r="B65" s="1"/>
      <c r="C65" s="1"/>
    </row>
    <row r="66" ht="13.5" customHeight="1">
      <c r="A66" s="1"/>
      <c r="B66" s="1"/>
      <c r="C66" s="1"/>
    </row>
    <row r="67" ht="13.5" customHeight="1">
      <c r="A67" s="1"/>
      <c r="B67" s="1"/>
      <c r="C67" s="1"/>
    </row>
    <row r="68" ht="13.5" customHeight="1">
      <c r="A68" s="1"/>
      <c r="B68" s="1"/>
      <c r="C68" s="1"/>
    </row>
    <row r="69" ht="13.5" customHeight="1">
      <c r="A69" s="1"/>
      <c r="B69" s="1"/>
      <c r="C69" s="1"/>
    </row>
    <row r="70" ht="13.5" customHeight="1">
      <c r="A70" s="1"/>
      <c r="B70" s="1"/>
      <c r="C70" s="1"/>
    </row>
    <row r="71" ht="13.5" customHeight="1">
      <c r="A71" s="1"/>
      <c r="B71" s="1"/>
      <c r="C71" s="1"/>
    </row>
    <row r="72" ht="13.5" customHeight="1">
      <c r="A72" s="1"/>
      <c r="B72" s="1"/>
      <c r="C72" s="1"/>
    </row>
    <row r="73" ht="13.5" customHeight="1">
      <c r="A73" s="1"/>
      <c r="B73" s="1"/>
      <c r="C73" s="1"/>
    </row>
    <row r="74" ht="13.5" customHeight="1">
      <c r="A74" s="1"/>
      <c r="B74" s="1"/>
      <c r="C74" s="1"/>
    </row>
    <row r="75" ht="13.5" customHeight="1">
      <c r="A75" s="1"/>
      <c r="B75" s="1"/>
      <c r="C75" s="1"/>
    </row>
    <row r="76" ht="13.5" customHeight="1">
      <c r="A76" s="1"/>
      <c r="B76" s="1"/>
      <c r="C76" s="1"/>
    </row>
    <row r="77" ht="13.5" customHeight="1">
      <c r="A77" s="1"/>
      <c r="B77" s="1"/>
      <c r="C77" s="1"/>
    </row>
    <row r="78" ht="13.5" customHeight="1">
      <c r="A78" s="1"/>
      <c r="B78" s="1"/>
      <c r="C78" s="1"/>
    </row>
    <row r="79" ht="13.5" customHeight="1">
      <c r="A79" s="1"/>
      <c r="B79" s="1"/>
      <c r="C79" s="1"/>
    </row>
    <row r="80" ht="13.5" customHeight="1">
      <c r="A80" s="1"/>
      <c r="B80" s="1"/>
      <c r="C80" s="1"/>
    </row>
    <row r="81" ht="13.5" customHeight="1">
      <c r="A81" s="1"/>
      <c r="B81" s="1"/>
      <c r="C81" s="1"/>
    </row>
    <row r="82" ht="13.5" customHeight="1">
      <c r="A82" s="1"/>
      <c r="B82" s="1"/>
      <c r="C82" s="1"/>
    </row>
    <row r="83" ht="13.5" customHeight="1">
      <c r="A83" s="1"/>
      <c r="B83" s="1"/>
      <c r="C83" s="1"/>
    </row>
    <row r="84" ht="13.5" customHeight="1">
      <c r="A84" s="1"/>
      <c r="B84" s="1"/>
      <c r="C84" s="1"/>
    </row>
    <row r="85" ht="13.5" customHeight="1">
      <c r="A85" s="1"/>
      <c r="B85" s="1"/>
      <c r="C85" s="1"/>
    </row>
    <row r="86" ht="13.5" customHeight="1">
      <c r="A86" s="1"/>
      <c r="B86" s="1"/>
      <c r="C86" s="1"/>
    </row>
    <row r="87" ht="13.5" customHeight="1">
      <c r="A87" s="1"/>
      <c r="B87" s="1"/>
      <c r="C87" s="1"/>
    </row>
    <row r="88" ht="13.5" customHeight="1">
      <c r="A88" s="1"/>
      <c r="B88" s="1"/>
      <c r="C88" s="1"/>
    </row>
    <row r="89" ht="13.5" customHeight="1">
      <c r="A89" s="1"/>
      <c r="B89" s="1"/>
      <c r="C89" s="1"/>
    </row>
    <row r="90" ht="13.5" customHeight="1">
      <c r="A90" s="1"/>
      <c r="B90" s="1"/>
      <c r="C90" s="1"/>
    </row>
    <row r="91" ht="13.5" customHeight="1">
      <c r="A91" s="1"/>
      <c r="B91" s="1"/>
      <c r="C91" s="1"/>
    </row>
    <row r="92" ht="13.5" customHeight="1">
      <c r="A92" s="1"/>
      <c r="B92" s="1"/>
      <c r="C92" s="1"/>
    </row>
    <row r="93" ht="13.5" customHeight="1">
      <c r="A93" s="1"/>
      <c r="B93" s="1"/>
      <c r="C93" s="1"/>
    </row>
    <row r="94" ht="13.5" customHeight="1">
      <c r="A94" s="1"/>
      <c r="B94" s="1"/>
      <c r="C94" s="1"/>
    </row>
    <row r="95" ht="13.5" customHeight="1">
      <c r="A95" s="1"/>
      <c r="B95" s="1"/>
      <c r="C95" s="1"/>
    </row>
    <row r="96" ht="13.5" customHeight="1">
      <c r="A96" s="1"/>
      <c r="B96" s="1"/>
      <c r="C96" s="1"/>
    </row>
    <row r="97" ht="13.5" customHeight="1">
      <c r="A97" s="1"/>
      <c r="B97" s="1"/>
      <c r="C97" s="1"/>
    </row>
    <row r="98" ht="13.5" customHeight="1">
      <c r="A98" s="1"/>
      <c r="B98" s="1"/>
      <c r="C98" s="1"/>
    </row>
    <row r="99" ht="13.5" customHeight="1">
      <c r="A99" s="1"/>
      <c r="B99" s="1"/>
      <c r="C99" s="1"/>
    </row>
    <row r="100" ht="13.5" customHeight="1">
      <c r="A100" s="1"/>
      <c r="B100" s="1"/>
      <c r="C100" s="1"/>
    </row>
    <row r="101" ht="13.5" customHeight="1">
      <c r="A101" s="1"/>
      <c r="B101" s="1"/>
      <c r="C101" s="1"/>
    </row>
    <row r="102" ht="13.5" customHeight="1">
      <c r="A102" s="1"/>
      <c r="B102" s="1"/>
      <c r="C102" s="1"/>
    </row>
    <row r="103" ht="13.5" customHeight="1">
      <c r="A103" s="1"/>
      <c r="B103" s="1"/>
      <c r="C103" s="1"/>
    </row>
    <row r="104" ht="13.5" customHeight="1">
      <c r="A104" s="1"/>
      <c r="B104" s="1"/>
      <c r="C104" s="1"/>
    </row>
    <row r="105" ht="13.5" customHeight="1">
      <c r="A105" s="1"/>
      <c r="B105" s="1"/>
      <c r="C105" s="1"/>
    </row>
    <row r="106" ht="13.5" customHeight="1">
      <c r="A106" s="1"/>
      <c r="B106" s="1"/>
      <c r="C106" s="1"/>
    </row>
    <row r="107" ht="13.5" customHeight="1">
      <c r="A107" s="1"/>
      <c r="B107" s="1"/>
      <c r="C107" s="1"/>
    </row>
    <row r="108" ht="13.5" customHeight="1">
      <c r="A108" s="1"/>
      <c r="B108" s="1"/>
      <c r="C108" s="1"/>
    </row>
    <row r="109" ht="13.5" customHeight="1">
      <c r="A109" s="1"/>
      <c r="B109" s="1"/>
      <c r="C109" s="1"/>
    </row>
    <row r="110" ht="13.5" customHeight="1">
      <c r="A110" s="1"/>
      <c r="B110" s="1"/>
      <c r="C110" s="1"/>
    </row>
    <row r="111" ht="13.5" customHeight="1">
      <c r="A111" s="1"/>
      <c r="B111" s="1"/>
      <c r="C111" s="1"/>
    </row>
    <row r="112" ht="13.5" customHeight="1">
      <c r="A112" s="1"/>
      <c r="B112" s="1"/>
      <c r="C112" s="1"/>
    </row>
    <row r="113" ht="13.5" customHeight="1">
      <c r="A113" s="1"/>
      <c r="B113" s="1"/>
      <c r="C113" s="1"/>
    </row>
    <row r="114" ht="13.5" customHeight="1">
      <c r="A114" s="1"/>
      <c r="B114" s="1"/>
      <c r="C114" s="1"/>
    </row>
    <row r="115" ht="13.5" customHeight="1">
      <c r="A115" s="1"/>
      <c r="B115" s="1"/>
      <c r="C115" s="1"/>
    </row>
    <row r="116" ht="13.5" customHeight="1">
      <c r="A116" s="1"/>
      <c r="B116" s="1"/>
      <c r="C116" s="1"/>
    </row>
    <row r="117" ht="13.5" customHeight="1">
      <c r="A117" s="1"/>
      <c r="B117" s="1"/>
      <c r="C117" s="1"/>
    </row>
    <row r="118" ht="13.5" customHeight="1">
      <c r="A118" s="1"/>
      <c r="B118" s="1"/>
      <c r="C118" s="1"/>
    </row>
    <row r="119" ht="13.5" customHeight="1">
      <c r="A119" s="1"/>
      <c r="B119" s="1"/>
      <c r="C119" s="1"/>
    </row>
    <row r="120" ht="13.5" customHeight="1">
      <c r="A120" s="1"/>
      <c r="B120" s="1"/>
      <c r="C120" s="1"/>
    </row>
    <row r="121" ht="13.5" customHeight="1">
      <c r="A121" s="1"/>
      <c r="B121" s="1"/>
      <c r="C121" s="1"/>
    </row>
    <row r="122" ht="13.5" customHeight="1">
      <c r="A122" s="1"/>
      <c r="B122" s="1"/>
      <c r="C122" s="1"/>
    </row>
    <row r="123" ht="13.5" customHeight="1">
      <c r="A123" s="1"/>
      <c r="B123" s="1"/>
      <c r="C123" s="1"/>
    </row>
    <row r="124" ht="13.5" customHeight="1">
      <c r="A124" s="1"/>
      <c r="B124" s="1"/>
      <c r="C124" s="1"/>
    </row>
    <row r="125" ht="13.5" customHeight="1">
      <c r="A125" s="1"/>
      <c r="B125" s="1"/>
      <c r="C125" s="1"/>
    </row>
    <row r="126" ht="13.5" customHeight="1">
      <c r="A126" s="1"/>
      <c r="B126" s="1"/>
      <c r="C126" s="1"/>
    </row>
    <row r="127" ht="13.5" customHeight="1">
      <c r="A127" s="1"/>
      <c r="B127" s="1"/>
      <c r="C127" s="1"/>
    </row>
    <row r="128" ht="13.5" customHeight="1">
      <c r="A128" s="1"/>
      <c r="B128" s="1"/>
      <c r="C128" s="1"/>
    </row>
    <row r="129" ht="13.5" customHeight="1">
      <c r="A129" s="1"/>
      <c r="B129" s="1"/>
      <c r="C129" s="1"/>
    </row>
    <row r="130" ht="13.5" customHeight="1">
      <c r="A130" s="1"/>
      <c r="B130" s="1"/>
      <c r="C130" s="1"/>
    </row>
    <row r="131" ht="13.5" customHeight="1">
      <c r="A131" s="1"/>
      <c r="B131" s="1"/>
      <c r="C131" s="1"/>
    </row>
    <row r="132" ht="13.5" customHeight="1">
      <c r="A132" s="1"/>
      <c r="B132" s="1"/>
      <c r="C132" s="1"/>
    </row>
    <row r="133" ht="13.5" customHeight="1">
      <c r="A133" s="1"/>
      <c r="B133" s="1"/>
      <c r="C133" s="1"/>
    </row>
    <row r="134" ht="13.5" customHeight="1">
      <c r="A134" s="1"/>
      <c r="B134" s="1"/>
      <c r="C134" s="1"/>
    </row>
    <row r="135" ht="13.5" customHeight="1">
      <c r="A135" s="1"/>
      <c r="B135" s="1"/>
      <c r="C135" s="1"/>
    </row>
    <row r="136" ht="13.5" customHeight="1">
      <c r="A136" s="1"/>
      <c r="B136" s="1"/>
      <c r="C136" s="1"/>
    </row>
    <row r="137" ht="13.5" customHeight="1">
      <c r="A137" s="1"/>
      <c r="B137" s="1"/>
      <c r="C137" s="1"/>
    </row>
    <row r="138" ht="13.5" customHeight="1">
      <c r="A138" s="1"/>
      <c r="B138" s="1"/>
      <c r="C138" s="1"/>
    </row>
    <row r="139" ht="13.5" customHeight="1">
      <c r="A139" s="1"/>
      <c r="B139" s="1"/>
      <c r="C139" s="1"/>
    </row>
    <row r="140" ht="13.5" customHeight="1">
      <c r="A140" s="1"/>
      <c r="B140" s="1"/>
      <c r="C140" s="1"/>
    </row>
    <row r="141" ht="13.5" customHeight="1">
      <c r="A141" s="1"/>
      <c r="B141" s="1"/>
      <c r="C141" s="1"/>
    </row>
    <row r="142" ht="13.5" customHeight="1">
      <c r="A142" s="1"/>
      <c r="B142" s="1"/>
      <c r="C142" s="1"/>
    </row>
    <row r="143" ht="13.5" customHeight="1">
      <c r="A143" s="1"/>
      <c r="B143" s="1"/>
      <c r="C143" s="1"/>
    </row>
    <row r="144" ht="13.5" customHeight="1">
      <c r="A144" s="1"/>
      <c r="B144" s="1"/>
      <c r="C144" s="1"/>
    </row>
    <row r="145" ht="13.5" customHeight="1">
      <c r="A145" s="1"/>
      <c r="B145" s="1"/>
      <c r="C145" s="1"/>
    </row>
    <row r="146" ht="13.5" customHeight="1">
      <c r="A146" s="1"/>
      <c r="B146" s="1"/>
      <c r="C146" s="1"/>
    </row>
    <row r="147" ht="13.5" customHeight="1">
      <c r="A147" s="1"/>
      <c r="B147" s="1"/>
      <c r="C147" s="1"/>
    </row>
    <row r="148" ht="13.5" customHeight="1">
      <c r="A148" s="1"/>
      <c r="B148" s="1"/>
      <c r="C148" s="1"/>
    </row>
    <row r="149" ht="13.5" customHeight="1">
      <c r="A149" s="1"/>
      <c r="B149" s="1"/>
      <c r="C149" s="1"/>
    </row>
    <row r="150" ht="13.5" customHeight="1">
      <c r="A150" s="1"/>
      <c r="B150" s="1"/>
      <c r="C150" s="1"/>
    </row>
    <row r="151" ht="13.5" customHeight="1">
      <c r="A151" s="1"/>
      <c r="B151" s="1"/>
      <c r="C151" s="1"/>
    </row>
    <row r="152" ht="13.5" customHeight="1">
      <c r="A152" s="1"/>
      <c r="B152" s="1"/>
      <c r="C152" s="1"/>
    </row>
    <row r="153" ht="13.5" customHeight="1">
      <c r="A153" s="1"/>
      <c r="B153" s="1"/>
      <c r="C153" s="1"/>
    </row>
    <row r="154" ht="13.5" customHeight="1">
      <c r="A154" s="1"/>
      <c r="B154" s="1"/>
      <c r="C154" s="1"/>
    </row>
    <row r="155" ht="13.5" customHeight="1">
      <c r="A155" s="1"/>
      <c r="B155" s="1"/>
      <c r="C155" s="1"/>
    </row>
    <row r="156" ht="13.5" customHeight="1">
      <c r="A156" s="1"/>
      <c r="B156" s="1"/>
      <c r="C156" s="1"/>
    </row>
    <row r="157" ht="13.5" customHeight="1">
      <c r="A157" s="1"/>
      <c r="B157" s="1"/>
      <c r="C157" s="1"/>
    </row>
    <row r="158" ht="13.5" customHeight="1">
      <c r="A158" s="1"/>
      <c r="B158" s="1"/>
      <c r="C158" s="1"/>
    </row>
    <row r="159" ht="13.5" customHeight="1">
      <c r="A159" s="1"/>
      <c r="B159" s="1"/>
      <c r="C159" s="1"/>
    </row>
    <row r="160" ht="13.5" customHeight="1">
      <c r="A160" s="1"/>
      <c r="B160" s="1"/>
      <c r="C160" s="1"/>
    </row>
    <row r="161" ht="13.5" customHeight="1">
      <c r="A161" s="1"/>
      <c r="B161" s="1"/>
      <c r="C161" s="1"/>
    </row>
    <row r="162" ht="13.5" customHeight="1">
      <c r="A162" s="1"/>
      <c r="B162" s="1"/>
      <c r="C162" s="1"/>
    </row>
    <row r="163" ht="13.5" customHeight="1">
      <c r="A163" s="1"/>
      <c r="B163" s="1"/>
      <c r="C163" s="1"/>
    </row>
    <row r="164" ht="13.5" customHeight="1">
      <c r="A164" s="1"/>
      <c r="B164" s="1"/>
      <c r="C164" s="1"/>
    </row>
    <row r="165" ht="13.5" customHeight="1">
      <c r="A165" s="1"/>
      <c r="B165" s="1"/>
      <c r="C165" s="1"/>
    </row>
    <row r="166" ht="13.5" customHeight="1">
      <c r="A166" s="1"/>
      <c r="B166" s="1"/>
      <c r="C166" s="1"/>
    </row>
    <row r="167" ht="13.5" customHeight="1">
      <c r="A167" s="1"/>
      <c r="B167" s="1"/>
      <c r="C167" s="1"/>
    </row>
    <row r="168" ht="13.5" customHeight="1">
      <c r="A168" s="1"/>
      <c r="B168" s="1"/>
      <c r="C168" s="1"/>
    </row>
    <row r="169" ht="13.5" customHeight="1">
      <c r="A169" s="1"/>
      <c r="B169" s="1"/>
      <c r="C169" s="1"/>
    </row>
    <row r="170" ht="13.5" customHeight="1">
      <c r="A170" s="1"/>
      <c r="B170" s="1"/>
      <c r="C170" s="1"/>
    </row>
    <row r="171" ht="13.5" customHeight="1">
      <c r="A171" s="1"/>
      <c r="B171" s="1"/>
      <c r="C171" s="1"/>
    </row>
    <row r="172" ht="13.5" customHeight="1">
      <c r="A172" s="1"/>
      <c r="B172" s="1"/>
      <c r="C172" s="1"/>
    </row>
    <row r="173" ht="13.5" customHeight="1">
      <c r="A173" s="1"/>
      <c r="B173" s="1"/>
      <c r="C173" s="1"/>
    </row>
    <row r="174" ht="13.5" customHeight="1">
      <c r="A174" s="1"/>
      <c r="B174" s="1"/>
      <c r="C174" s="1"/>
    </row>
    <row r="175" ht="13.5" customHeight="1">
      <c r="A175" s="1"/>
      <c r="B175" s="1"/>
      <c r="C175" s="1"/>
    </row>
    <row r="176" ht="13.5" customHeight="1">
      <c r="A176" s="1"/>
      <c r="B176" s="1"/>
      <c r="C176" s="1"/>
    </row>
    <row r="177" ht="13.5" customHeight="1">
      <c r="A177" s="1"/>
      <c r="B177" s="1"/>
      <c r="C177" s="1"/>
    </row>
    <row r="178" ht="13.5" customHeight="1">
      <c r="A178" s="1"/>
      <c r="B178" s="1"/>
      <c r="C178" s="1"/>
    </row>
    <row r="179" ht="13.5" customHeight="1">
      <c r="A179" s="1"/>
      <c r="B179" s="1"/>
      <c r="C179" s="1"/>
    </row>
    <row r="180" ht="13.5" customHeight="1">
      <c r="A180" s="1"/>
      <c r="B180" s="1"/>
      <c r="C180" s="1"/>
    </row>
    <row r="181" ht="13.5" customHeight="1">
      <c r="A181" s="1"/>
      <c r="B181" s="1"/>
      <c r="C181" s="1"/>
    </row>
    <row r="182" ht="13.5" customHeight="1">
      <c r="A182" s="1"/>
      <c r="B182" s="1"/>
      <c r="C182" s="1"/>
    </row>
    <row r="183" ht="13.5" customHeight="1">
      <c r="A183" s="1"/>
      <c r="B183" s="1"/>
      <c r="C183" s="1"/>
    </row>
    <row r="184" ht="13.5" customHeight="1">
      <c r="A184" s="1"/>
      <c r="B184" s="1"/>
      <c r="C184" s="1"/>
    </row>
    <row r="185" ht="13.5" customHeight="1">
      <c r="A185" s="1"/>
      <c r="B185" s="1"/>
      <c r="C185" s="1"/>
    </row>
    <row r="186" ht="13.5" customHeight="1">
      <c r="A186" s="1"/>
      <c r="B186" s="1"/>
      <c r="C186" s="1"/>
    </row>
    <row r="187" ht="13.5" customHeight="1">
      <c r="A187" s="1"/>
      <c r="B187" s="1"/>
      <c r="C187" s="1"/>
    </row>
    <row r="188" ht="13.5" customHeight="1">
      <c r="A188" s="1"/>
      <c r="B188" s="1"/>
      <c r="C188" s="1"/>
    </row>
    <row r="189" ht="13.5" customHeight="1">
      <c r="A189" s="1"/>
      <c r="B189" s="1"/>
      <c r="C189" s="1"/>
    </row>
    <row r="190" ht="13.5" customHeight="1">
      <c r="A190" s="1"/>
      <c r="B190" s="1"/>
      <c r="C190" s="1"/>
    </row>
    <row r="191" ht="13.5" customHeight="1">
      <c r="A191" s="1"/>
      <c r="B191" s="1"/>
      <c r="C191" s="1"/>
    </row>
    <row r="192" ht="13.5" customHeight="1">
      <c r="A192" s="1"/>
      <c r="B192" s="1"/>
      <c r="C192" s="1"/>
    </row>
    <row r="193" ht="13.5" customHeight="1">
      <c r="A193" s="1"/>
      <c r="B193" s="1"/>
      <c r="C193" s="1"/>
    </row>
    <row r="194" ht="13.5" customHeight="1">
      <c r="A194" s="1"/>
      <c r="B194" s="1"/>
      <c r="C194" s="1"/>
    </row>
    <row r="195" ht="13.5" customHeight="1">
      <c r="A195" s="1"/>
      <c r="B195" s="1"/>
      <c r="C195" s="1"/>
    </row>
    <row r="196" ht="13.5" customHeight="1">
      <c r="A196" s="1"/>
      <c r="B196" s="1"/>
      <c r="C196" s="1"/>
    </row>
    <row r="197" ht="13.5" customHeight="1">
      <c r="A197" s="1"/>
      <c r="B197" s="1"/>
      <c r="C197" s="1"/>
    </row>
    <row r="198" ht="13.5" customHeight="1">
      <c r="A198" s="1"/>
      <c r="B198" s="1"/>
      <c r="C198" s="1"/>
    </row>
    <row r="199" ht="13.5" customHeight="1">
      <c r="A199" s="1"/>
      <c r="B199" s="1"/>
      <c r="C199" s="1"/>
    </row>
    <row r="200" ht="13.5" customHeight="1">
      <c r="A200" s="1"/>
      <c r="B200" s="1"/>
      <c r="C200" s="1"/>
    </row>
    <row r="201" ht="13.5" customHeight="1">
      <c r="A201" s="1"/>
      <c r="B201" s="1"/>
      <c r="C201" s="1"/>
    </row>
    <row r="202" ht="13.5" customHeight="1">
      <c r="A202" s="1"/>
      <c r="B202" s="1"/>
      <c r="C202" s="1"/>
    </row>
    <row r="203" ht="13.5" customHeight="1">
      <c r="A203" s="1"/>
      <c r="B203" s="1"/>
      <c r="C203" s="1"/>
    </row>
    <row r="204" ht="13.5" customHeight="1">
      <c r="A204" s="1"/>
      <c r="B204" s="1"/>
      <c r="C204" s="1"/>
    </row>
    <row r="205" ht="13.5" customHeight="1">
      <c r="A205" s="1"/>
      <c r="B205" s="1"/>
      <c r="C205" s="1"/>
    </row>
    <row r="206" ht="13.5" customHeight="1">
      <c r="A206" s="1"/>
      <c r="B206" s="1"/>
      <c r="C206" s="1"/>
    </row>
    <row r="207" ht="13.5" customHeight="1">
      <c r="A207" s="1"/>
      <c r="B207" s="1"/>
      <c r="C207" s="1"/>
    </row>
    <row r="208" ht="13.5" customHeight="1">
      <c r="A208" s="1"/>
      <c r="B208" s="1"/>
      <c r="C208" s="1"/>
    </row>
    <row r="209" ht="13.5" customHeight="1">
      <c r="A209" s="1"/>
      <c r="B209" s="1"/>
      <c r="C209" s="1"/>
    </row>
    <row r="210" ht="13.5" customHeight="1">
      <c r="A210" s="1"/>
      <c r="B210" s="1"/>
      <c r="C210" s="1"/>
    </row>
    <row r="211" ht="13.5" customHeight="1">
      <c r="A211" s="1"/>
      <c r="B211" s="1"/>
      <c r="C211" s="1"/>
    </row>
    <row r="212" ht="13.5" customHeight="1">
      <c r="A212" s="1"/>
      <c r="B212" s="1"/>
      <c r="C212" s="1"/>
    </row>
    <row r="213" ht="13.5" customHeight="1">
      <c r="A213" s="1"/>
      <c r="B213" s="1"/>
      <c r="C213" s="1"/>
    </row>
    <row r="214" ht="13.5" customHeight="1">
      <c r="A214" s="1"/>
      <c r="B214" s="1"/>
      <c r="C214" s="1"/>
    </row>
    <row r="215" ht="13.5" customHeight="1">
      <c r="A215" s="1"/>
      <c r="B215" s="1"/>
      <c r="C215" s="1"/>
    </row>
    <row r="216" ht="13.5" customHeight="1">
      <c r="A216" s="1"/>
      <c r="B216" s="1"/>
      <c r="C216" s="1"/>
    </row>
    <row r="217" ht="13.5" customHeight="1">
      <c r="A217" s="1"/>
      <c r="B217" s="1"/>
      <c r="C217" s="1"/>
    </row>
    <row r="218" ht="13.5" customHeight="1">
      <c r="A218" s="1"/>
      <c r="B218" s="1"/>
      <c r="C218" s="1"/>
    </row>
    <row r="219" ht="13.5" customHeight="1">
      <c r="A219" s="1"/>
      <c r="B219" s="1"/>
      <c r="C219" s="1"/>
    </row>
    <row r="220" ht="13.5" customHeight="1">
      <c r="A220" s="1"/>
      <c r="B220" s="1"/>
      <c r="C220" s="1"/>
    </row>
    <row r="221" ht="13.5" customHeight="1">
      <c r="A221" s="1"/>
      <c r="B221" s="1"/>
      <c r="C221" s="1"/>
    </row>
    <row r="222" ht="13.5" customHeight="1">
      <c r="A222" s="1"/>
      <c r="B222" s="1"/>
      <c r="C222" s="1"/>
    </row>
    <row r="223" ht="13.5" customHeight="1">
      <c r="A223" s="1"/>
      <c r="B223" s="1"/>
      <c r="C223" s="1"/>
    </row>
    <row r="224" ht="13.5" customHeight="1">
      <c r="A224" s="1"/>
      <c r="B224" s="1"/>
      <c r="C224" s="1"/>
    </row>
    <row r="225" ht="13.5" customHeight="1">
      <c r="A225" s="1"/>
      <c r="B225" s="1"/>
      <c r="C225" s="1"/>
    </row>
    <row r="226" ht="13.5" customHeight="1">
      <c r="A226" s="1"/>
      <c r="B226" s="1"/>
      <c r="C226" s="1"/>
    </row>
    <row r="227" ht="13.5" customHeight="1">
      <c r="A227" s="1"/>
      <c r="B227" s="1"/>
      <c r="C227" s="1"/>
    </row>
    <row r="228" ht="13.5" customHeight="1">
      <c r="A228" s="1"/>
      <c r="B228" s="1"/>
      <c r="C228" s="1"/>
    </row>
    <row r="229" ht="13.5" customHeight="1">
      <c r="A229" s="1"/>
      <c r="B229" s="1"/>
      <c r="C229" s="1"/>
    </row>
    <row r="230" ht="13.5" customHeight="1">
      <c r="A230" s="1"/>
      <c r="B230" s="1"/>
      <c r="C230" s="1"/>
    </row>
    <row r="231" ht="13.5" customHeight="1">
      <c r="A231" s="1"/>
      <c r="B231" s="1"/>
      <c r="C231" s="1"/>
    </row>
    <row r="232" ht="13.5" customHeight="1">
      <c r="A232" s="1"/>
      <c r="B232" s="1"/>
      <c r="C232" s="1"/>
    </row>
    <row r="233" ht="13.5" customHeight="1">
      <c r="A233" s="1"/>
      <c r="B233" s="1"/>
      <c r="C233" s="1"/>
    </row>
    <row r="234" ht="13.5" customHeight="1">
      <c r="A234" s="1"/>
      <c r="B234" s="1"/>
      <c r="C234" s="1"/>
    </row>
    <row r="235" ht="13.5" customHeight="1">
      <c r="A235" s="1"/>
      <c r="B235" s="1"/>
      <c r="C235" s="1"/>
    </row>
    <row r="236" ht="13.5" customHeight="1">
      <c r="A236" s="1"/>
      <c r="B236" s="1"/>
      <c r="C236" s="1"/>
    </row>
    <row r="237" ht="13.5" customHeight="1">
      <c r="A237" s="1"/>
      <c r="B237" s="1"/>
      <c r="C237" s="1"/>
    </row>
    <row r="238" ht="13.5" customHeight="1">
      <c r="A238" s="1"/>
      <c r="B238" s="1"/>
      <c r="C238" s="1"/>
    </row>
    <row r="239" ht="13.5" customHeight="1">
      <c r="A239" s="1"/>
      <c r="B239" s="1"/>
      <c r="C239" s="1"/>
    </row>
    <row r="240" ht="13.5" customHeight="1">
      <c r="A240" s="1"/>
      <c r="B240" s="1"/>
      <c r="C240" s="1"/>
    </row>
    <row r="241" ht="13.5" customHeight="1">
      <c r="A241" s="1"/>
      <c r="B241" s="1"/>
      <c r="C241" s="1"/>
    </row>
    <row r="242" ht="13.5" customHeight="1">
      <c r="A242" s="1"/>
      <c r="B242" s="1"/>
      <c r="C242" s="1"/>
    </row>
    <row r="243" ht="13.5" customHeight="1">
      <c r="A243" s="1"/>
      <c r="B243" s="1"/>
      <c r="C243" s="1"/>
    </row>
    <row r="244" ht="13.5" customHeight="1">
      <c r="A244" s="1"/>
      <c r="B244" s="1"/>
      <c r="C244" s="1"/>
    </row>
    <row r="245" ht="13.5" customHeight="1">
      <c r="A245" s="1"/>
      <c r="B245" s="1"/>
      <c r="C245" s="1"/>
    </row>
    <row r="246" ht="13.5" customHeight="1">
      <c r="A246" s="1"/>
      <c r="B246" s="1"/>
      <c r="C246" s="1"/>
    </row>
    <row r="247" ht="13.5" customHeight="1">
      <c r="A247" s="1"/>
      <c r="B247" s="1"/>
      <c r="C247" s="1"/>
    </row>
    <row r="248" ht="13.5" customHeight="1">
      <c r="A248" s="1"/>
      <c r="B248" s="1"/>
      <c r="C248" s="1"/>
    </row>
    <row r="249" ht="13.5" customHeight="1">
      <c r="A249" s="1"/>
      <c r="B249" s="1"/>
      <c r="C249" s="1"/>
    </row>
    <row r="250" ht="13.5" customHeight="1">
      <c r="A250" s="1"/>
      <c r="B250" s="1"/>
      <c r="C250" s="1"/>
    </row>
    <row r="251" ht="13.5" customHeight="1">
      <c r="A251" s="1"/>
      <c r="B251" s="1"/>
      <c r="C251" s="1"/>
    </row>
    <row r="252" ht="13.5" customHeight="1">
      <c r="A252" s="1"/>
      <c r="B252" s="1"/>
      <c r="C252" s="1"/>
    </row>
    <row r="253" ht="13.5" customHeight="1">
      <c r="A253" s="1"/>
      <c r="B253" s="1"/>
      <c r="C253" s="1"/>
    </row>
    <row r="254" ht="13.5" customHeight="1">
      <c r="A254" s="1"/>
      <c r="B254" s="1"/>
      <c r="C254" s="1"/>
    </row>
    <row r="255" ht="13.5" customHeight="1">
      <c r="A255" s="1"/>
      <c r="B255" s="1"/>
      <c r="C255" s="1"/>
    </row>
    <row r="256" ht="13.5" customHeight="1">
      <c r="A256" s="1"/>
      <c r="B256" s="1"/>
      <c r="C256" s="1"/>
    </row>
    <row r="257" ht="13.5" customHeight="1">
      <c r="A257" s="1"/>
      <c r="B257" s="1"/>
      <c r="C257" s="1"/>
    </row>
    <row r="258" ht="13.5" customHeight="1">
      <c r="A258" s="1"/>
      <c r="B258" s="1"/>
      <c r="C258" s="1"/>
    </row>
    <row r="259" ht="13.5" customHeight="1">
      <c r="A259" s="1"/>
      <c r="B259" s="1"/>
      <c r="C259" s="1"/>
    </row>
    <row r="260" ht="13.5" customHeight="1">
      <c r="A260" s="1"/>
      <c r="B260" s="1"/>
      <c r="C260" s="1"/>
    </row>
    <row r="261" ht="13.5" customHeight="1">
      <c r="A261" s="1"/>
      <c r="B261" s="1"/>
      <c r="C261" s="1"/>
    </row>
    <row r="262" ht="13.5" customHeight="1">
      <c r="A262" s="1"/>
      <c r="B262" s="1"/>
      <c r="C262" s="1"/>
    </row>
    <row r="263" ht="13.5" customHeight="1">
      <c r="A263" s="1"/>
      <c r="B263" s="1"/>
      <c r="C263" s="1"/>
    </row>
    <row r="264" ht="13.5" customHeight="1">
      <c r="A264" s="1"/>
      <c r="B264" s="1"/>
      <c r="C264" s="1"/>
    </row>
    <row r="265" ht="13.5" customHeight="1">
      <c r="A265" s="1"/>
      <c r="B265" s="1"/>
      <c r="C265" s="1"/>
    </row>
    <row r="266" ht="13.5" customHeight="1">
      <c r="A266" s="1"/>
      <c r="B266" s="1"/>
      <c r="C266" s="1"/>
    </row>
    <row r="267" ht="13.5" customHeight="1">
      <c r="A267" s="1"/>
      <c r="B267" s="1"/>
      <c r="C267" s="1"/>
    </row>
    <row r="268" ht="13.5" customHeight="1">
      <c r="A268" s="1"/>
      <c r="B268" s="1"/>
      <c r="C268" s="1"/>
    </row>
    <row r="269" ht="13.5" customHeight="1">
      <c r="A269" s="1"/>
      <c r="B269" s="1"/>
      <c r="C269" s="1"/>
    </row>
    <row r="270" ht="13.5" customHeight="1">
      <c r="A270" s="1"/>
      <c r="B270" s="1"/>
      <c r="C270" s="1"/>
    </row>
    <row r="271" ht="13.5" customHeight="1">
      <c r="A271" s="1"/>
      <c r="B271" s="1"/>
      <c r="C271" s="1"/>
    </row>
    <row r="272" ht="13.5" customHeight="1">
      <c r="A272" s="1"/>
      <c r="B272" s="1"/>
      <c r="C272" s="1"/>
    </row>
    <row r="273" ht="13.5" customHeight="1">
      <c r="A273" s="1"/>
      <c r="B273" s="1"/>
      <c r="C273" s="1"/>
    </row>
    <row r="274" ht="13.5" customHeight="1">
      <c r="A274" s="1"/>
      <c r="B274" s="1"/>
      <c r="C274" s="1"/>
    </row>
    <row r="275" ht="13.5" customHeight="1">
      <c r="A275" s="1"/>
      <c r="B275" s="1"/>
      <c r="C275" s="1"/>
    </row>
    <row r="276" ht="13.5" customHeight="1">
      <c r="A276" s="1"/>
      <c r="B276" s="1"/>
      <c r="C276" s="1"/>
    </row>
    <row r="277" ht="13.5" customHeight="1">
      <c r="A277" s="1"/>
      <c r="B277" s="1"/>
      <c r="C277" s="1"/>
    </row>
    <row r="278" ht="13.5" customHeight="1">
      <c r="A278" s="1"/>
      <c r="B278" s="1"/>
      <c r="C278" s="1"/>
    </row>
    <row r="279" ht="13.5" customHeight="1">
      <c r="A279" s="1"/>
      <c r="B279" s="1"/>
      <c r="C279" s="1"/>
    </row>
    <row r="280" ht="13.5" customHeight="1">
      <c r="A280" s="1"/>
      <c r="B280" s="1"/>
      <c r="C280" s="1"/>
    </row>
    <row r="281" ht="13.5" customHeight="1">
      <c r="A281" s="1"/>
      <c r="B281" s="1"/>
      <c r="C281" s="1"/>
    </row>
    <row r="282" ht="13.5" customHeight="1">
      <c r="A282" s="1"/>
      <c r="B282" s="1"/>
      <c r="C282" s="1"/>
    </row>
    <row r="283" ht="13.5" customHeight="1">
      <c r="A283" s="1"/>
      <c r="B283" s="1"/>
      <c r="C283" s="1"/>
    </row>
    <row r="284" ht="13.5" customHeight="1">
      <c r="A284" s="1"/>
      <c r="B284" s="1"/>
      <c r="C284" s="1"/>
    </row>
    <row r="285" ht="13.5" customHeight="1">
      <c r="A285" s="1"/>
      <c r="B285" s="1"/>
      <c r="C285" s="1"/>
    </row>
    <row r="286" ht="13.5" customHeight="1">
      <c r="A286" s="1"/>
      <c r="B286" s="1"/>
      <c r="C286" s="1"/>
    </row>
    <row r="287" ht="13.5" customHeight="1">
      <c r="A287" s="1"/>
      <c r="B287" s="1"/>
      <c r="C287" s="1"/>
    </row>
    <row r="288" ht="13.5" customHeight="1">
      <c r="A288" s="1"/>
      <c r="B288" s="1"/>
      <c r="C288" s="1"/>
    </row>
    <row r="289" ht="13.5" customHeight="1">
      <c r="A289" s="1"/>
      <c r="B289" s="1"/>
      <c r="C289" s="1"/>
    </row>
    <row r="290" ht="13.5" customHeight="1">
      <c r="A290" s="1"/>
      <c r="B290" s="1"/>
      <c r="C290" s="1"/>
    </row>
    <row r="291" ht="13.5" customHeight="1">
      <c r="A291" s="1"/>
      <c r="B291" s="1"/>
      <c r="C291" s="1"/>
    </row>
    <row r="292" ht="13.5" customHeight="1">
      <c r="A292" s="1"/>
      <c r="B292" s="1"/>
      <c r="C292" s="1"/>
    </row>
    <row r="293" ht="13.5" customHeight="1">
      <c r="A293" s="1"/>
      <c r="B293" s="1"/>
      <c r="C293" s="1"/>
    </row>
    <row r="294" ht="13.5" customHeight="1">
      <c r="A294" s="1"/>
      <c r="B294" s="1"/>
      <c r="C294" s="1"/>
    </row>
    <row r="295" ht="13.5" customHeight="1">
      <c r="A295" s="1"/>
      <c r="B295" s="1"/>
      <c r="C295" s="1"/>
    </row>
    <row r="296" ht="13.5" customHeight="1">
      <c r="A296" s="1"/>
      <c r="B296" s="1"/>
      <c r="C296" s="1"/>
    </row>
    <row r="297" ht="13.5" customHeight="1">
      <c r="A297" s="1"/>
      <c r="B297" s="1"/>
      <c r="C297" s="1"/>
    </row>
    <row r="298" ht="13.5" customHeight="1">
      <c r="A298" s="1"/>
      <c r="B298" s="1"/>
      <c r="C298" s="1"/>
    </row>
    <row r="299" ht="13.5" customHeight="1">
      <c r="A299" s="1"/>
      <c r="B299" s="1"/>
      <c r="C299" s="1"/>
    </row>
    <row r="300" ht="13.5" customHeight="1">
      <c r="A300" s="1"/>
      <c r="B300" s="1"/>
      <c r="C300" s="1"/>
    </row>
    <row r="301" ht="13.5" customHeight="1">
      <c r="A301" s="1"/>
      <c r="B301" s="1"/>
      <c r="C301" s="1"/>
    </row>
    <row r="302" ht="13.5" customHeight="1">
      <c r="A302" s="1"/>
      <c r="B302" s="1"/>
      <c r="C302" s="1"/>
    </row>
    <row r="303" ht="13.5" customHeight="1">
      <c r="A303" s="1"/>
      <c r="B303" s="1"/>
      <c r="C303" s="1"/>
    </row>
    <row r="304" ht="13.5" customHeight="1">
      <c r="A304" s="1"/>
      <c r="B304" s="1"/>
      <c r="C304" s="1"/>
    </row>
    <row r="305" ht="13.5" customHeight="1">
      <c r="A305" s="1"/>
      <c r="B305" s="1"/>
      <c r="C305" s="1"/>
    </row>
    <row r="306" ht="13.5" customHeight="1">
      <c r="A306" s="1"/>
      <c r="B306" s="1"/>
      <c r="C306" s="1"/>
    </row>
    <row r="307" ht="13.5" customHeight="1">
      <c r="A307" s="1"/>
      <c r="B307" s="1"/>
      <c r="C307" s="1"/>
    </row>
    <row r="308" ht="13.5" customHeight="1">
      <c r="A308" s="1"/>
      <c r="B308" s="1"/>
      <c r="C308" s="1"/>
    </row>
    <row r="309" ht="13.5" customHeight="1">
      <c r="A309" s="1"/>
      <c r="B309" s="1"/>
      <c r="C309" s="1"/>
    </row>
    <row r="310" ht="13.5" customHeight="1">
      <c r="A310" s="1"/>
      <c r="B310" s="1"/>
      <c r="C310" s="1"/>
    </row>
    <row r="311" ht="13.5" customHeight="1">
      <c r="A311" s="1"/>
      <c r="B311" s="1"/>
      <c r="C311" s="1"/>
    </row>
    <row r="312" ht="13.5" customHeight="1">
      <c r="A312" s="1"/>
      <c r="B312" s="1"/>
      <c r="C312" s="1"/>
    </row>
    <row r="313" ht="13.5" customHeight="1">
      <c r="A313" s="1"/>
      <c r="B313" s="1"/>
      <c r="C313" s="1"/>
    </row>
    <row r="314" ht="13.5" customHeight="1">
      <c r="A314" s="1"/>
      <c r="B314" s="1"/>
      <c r="C314" s="1"/>
    </row>
    <row r="315" ht="13.5" customHeight="1">
      <c r="A315" s="1"/>
      <c r="B315" s="1"/>
      <c r="C315" s="1"/>
    </row>
    <row r="316" ht="13.5" customHeight="1">
      <c r="A316" s="1"/>
      <c r="B316" s="1"/>
      <c r="C316" s="1"/>
    </row>
    <row r="317" ht="13.5" customHeight="1">
      <c r="A317" s="1"/>
      <c r="B317" s="1"/>
      <c r="C317" s="1"/>
    </row>
    <row r="318" ht="13.5" customHeight="1">
      <c r="A318" s="1"/>
      <c r="B318" s="1"/>
      <c r="C318" s="1"/>
    </row>
    <row r="319" ht="13.5" customHeight="1">
      <c r="A319" s="1"/>
      <c r="B319" s="1"/>
      <c r="C319" s="1"/>
    </row>
    <row r="320" ht="13.5" customHeight="1">
      <c r="A320" s="1"/>
      <c r="B320" s="1"/>
      <c r="C320" s="1"/>
    </row>
    <row r="321" ht="13.5" customHeight="1">
      <c r="A321" s="1"/>
      <c r="B321" s="1"/>
      <c r="C321" s="1"/>
    </row>
    <row r="322" ht="13.5" customHeight="1">
      <c r="A322" s="1"/>
      <c r="B322" s="1"/>
      <c r="C322" s="1"/>
    </row>
    <row r="323" ht="13.5" customHeight="1">
      <c r="A323" s="1"/>
      <c r="B323" s="1"/>
      <c r="C323" s="1"/>
    </row>
    <row r="324" ht="13.5" customHeight="1">
      <c r="A324" s="1"/>
      <c r="B324" s="1"/>
      <c r="C324" s="1"/>
    </row>
    <row r="325" ht="13.5" customHeight="1">
      <c r="A325" s="1"/>
      <c r="B325" s="1"/>
      <c r="C325" s="1"/>
    </row>
    <row r="326" ht="13.5" customHeight="1">
      <c r="A326" s="1"/>
      <c r="B326" s="1"/>
      <c r="C326" s="1"/>
    </row>
    <row r="327" ht="13.5" customHeight="1">
      <c r="A327" s="1"/>
      <c r="B327" s="1"/>
      <c r="C327" s="1"/>
    </row>
    <row r="328" ht="13.5" customHeight="1">
      <c r="A328" s="1"/>
      <c r="B328" s="1"/>
      <c r="C328" s="1"/>
    </row>
    <row r="329" ht="13.5" customHeight="1">
      <c r="A329" s="1"/>
      <c r="B329" s="1"/>
      <c r="C329" s="1"/>
    </row>
    <row r="330" ht="13.5" customHeight="1">
      <c r="A330" s="1"/>
      <c r="B330" s="1"/>
      <c r="C330" s="1"/>
    </row>
    <row r="331" ht="13.5" customHeight="1">
      <c r="A331" s="1"/>
      <c r="B331" s="1"/>
      <c r="C331" s="1"/>
    </row>
    <row r="332" ht="13.5" customHeight="1">
      <c r="A332" s="1"/>
      <c r="B332" s="1"/>
      <c r="C332" s="1"/>
    </row>
    <row r="333" ht="13.5" customHeight="1">
      <c r="A333" s="1"/>
      <c r="B333" s="1"/>
      <c r="C333" s="1"/>
    </row>
    <row r="334" ht="13.5" customHeight="1">
      <c r="A334" s="1"/>
      <c r="B334" s="1"/>
      <c r="C334" s="1"/>
    </row>
    <row r="335" ht="13.5" customHeight="1">
      <c r="A335" s="1"/>
      <c r="B335" s="1"/>
      <c r="C335" s="1"/>
    </row>
    <row r="336" ht="13.5" customHeight="1">
      <c r="A336" s="1"/>
      <c r="B336" s="1"/>
      <c r="C336" s="1"/>
    </row>
    <row r="337" ht="13.5" customHeight="1">
      <c r="A337" s="1"/>
      <c r="B337" s="1"/>
      <c r="C337" s="1"/>
    </row>
    <row r="338" ht="13.5" customHeight="1">
      <c r="A338" s="1"/>
      <c r="B338" s="1"/>
      <c r="C338" s="1"/>
    </row>
    <row r="339" ht="13.5" customHeight="1">
      <c r="A339" s="1"/>
      <c r="B339" s="1"/>
      <c r="C339" s="1"/>
    </row>
    <row r="340" ht="13.5" customHeight="1">
      <c r="A340" s="1"/>
      <c r="B340" s="1"/>
      <c r="C340" s="1"/>
    </row>
    <row r="341" ht="13.5" customHeight="1">
      <c r="A341" s="1"/>
      <c r="B341" s="1"/>
      <c r="C341" s="1"/>
    </row>
    <row r="342" ht="13.5" customHeight="1">
      <c r="A342" s="1"/>
      <c r="B342" s="1"/>
      <c r="C342" s="1"/>
    </row>
    <row r="343" ht="13.5" customHeight="1">
      <c r="A343" s="1"/>
      <c r="B343" s="1"/>
      <c r="C343" s="1"/>
    </row>
    <row r="344" ht="13.5" customHeight="1">
      <c r="A344" s="1"/>
      <c r="B344" s="1"/>
      <c r="C344" s="1"/>
    </row>
    <row r="345" ht="13.5" customHeight="1">
      <c r="A345" s="1"/>
      <c r="B345" s="1"/>
      <c r="C345" s="1"/>
    </row>
    <row r="346" ht="13.5" customHeight="1">
      <c r="A346" s="1"/>
      <c r="B346" s="1"/>
      <c r="C346" s="1"/>
    </row>
    <row r="347" ht="13.5" customHeight="1">
      <c r="A347" s="1"/>
      <c r="B347" s="1"/>
      <c r="C347" s="1"/>
    </row>
    <row r="348" ht="13.5" customHeight="1">
      <c r="A348" s="1"/>
      <c r="B348" s="1"/>
      <c r="C348" s="1"/>
    </row>
    <row r="349" ht="13.5" customHeight="1">
      <c r="A349" s="1"/>
      <c r="B349" s="1"/>
      <c r="C349" s="1"/>
    </row>
    <row r="350" ht="13.5" customHeight="1">
      <c r="A350" s="1"/>
      <c r="B350" s="1"/>
      <c r="C350" s="1"/>
    </row>
    <row r="351" ht="13.5" customHeight="1">
      <c r="A351" s="1"/>
      <c r="B351" s="1"/>
      <c r="C351" s="1"/>
    </row>
    <row r="352" ht="13.5" customHeight="1">
      <c r="A352" s="1"/>
      <c r="B352" s="1"/>
      <c r="C352" s="1"/>
    </row>
    <row r="353" ht="13.5" customHeight="1">
      <c r="A353" s="1"/>
      <c r="B353" s="1"/>
      <c r="C353" s="1"/>
    </row>
    <row r="354" ht="13.5" customHeight="1">
      <c r="A354" s="1"/>
      <c r="B354" s="1"/>
      <c r="C354" s="1"/>
    </row>
    <row r="355" ht="13.5" customHeight="1">
      <c r="A355" s="1"/>
      <c r="B355" s="1"/>
      <c r="C355" s="1"/>
    </row>
    <row r="356" ht="13.5" customHeight="1">
      <c r="A356" s="1"/>
      <c r="B356" s="1"/>
      <c r="C356" s="1"/>
    </row>
    <row r="357" ht="13.5" customHeight="1">
      <c r="A357" s="1"/>
      <c r="B357" s="1"/>
      <c r="C357" s="1"/>
    </row>
    <row r="358" ht="13.5" customHeight="1">
      <c r="A358" s="1"/>
      <c r="B358" s="1"/>
      <c r="C358" s="1"/>
    </row>
    <row r="359" ht="13.5" customHeight="1">
      <c r="A359" s="1"/>
      <c r="B359" s="1"/>
      <c r="C359" s="1"/>
    </row>
    <row r="360" ht="13.5" customHeight="1">
      <c r="A360" s="1"/>
      <c r="B360" s="1"/>
      <c r="C360" s="1"/>
    </row>
    <row r="361" ht="13.5" customHeight="1">
      <c r="A361" s="1"/>
      <c r="B361" s="1"/>
      <c r="C361" s="1"/>
    </row>
    <row r="362" ht="13.5" customHeight="1">
      <c r="A362" s="1"/>
      <c r="B362" s="1"/>
      <c r="C362" s="1"/>
    </row>
    <row r="363" ht="13.5" customHeight="1">
      <c r="A363" s="1"/>
      <c r="B363" s="1"/>
      <c r="C363" s="1"/>
    </row>
    <row r="364" ht="13.5" customHeight="1">
      <c r="A364" s="1"/>
      <c r="B364" s="1"/>
      <c r="C364" s="1"/>
    </row>
    <row r="365" ht="13.5" customHeight="1">
      <c r="A365" s="1"/>
      <c r="B365" s="1"/>
      <c r="C365" s="1"/>
    </row>
    <row r="366" ht="13.5" customHeight="1">
      <c r="A366" s="1"/>
      <c r="B366" s="1"/>
      <c r="C366" s="1"/>
    </row>
    <row r="367" ht="13.5" customHeight="1">
      <c r="A367" s="1"/>
      <c r="B367" s="1"/>
      <c r="C367" s="1"/>
    </row>
    <row r="368" ht="13.5" customHeight="1">
      <c r="A368" s="1"/>
      <c r="B368" s="1"/>
      <c r="C368" s="1"/>
    </row>
    <row r="369" ht="13.5" customHeight="1">
      <c r="A369" s="1"/>
      <c r="B369" s="1"/>
      <c r="C369" s="1"/>
    </row>
    <row r="370" ht="13.5" customHeight="1">
      <c r="A370" s="1"/>
      <c r="B370" s="1"/>
      <c r="C370" s="1"/>
    </row>
    <row r="371" ht="13.5" customHeight="1">
      <c r="A371" s="1"/>
      <c r="B371" s="1"/>
      <c r="C371" s="1"/>
    </row>
    <row r="372" ht="13.5" customHeight="1">
      <c r="A372" s="1"/>
      <c r="B372" s="1"/>
      <c r="C372" s="1"/>
    </row>
    <row r="373" ht="13.5" customHeight="1">
      <c r="A373" s="1"/>
      <c r="B373" s="1"/>
      <c r="C373" s="1"/>
    </row>
    <row r="374" ht="13.5" customHeight="1">
      <c r="A374" s="1"/>
      <c r="B374" s="1"/>
      <c r="C374" s="1"/>
    </row>
    <row r="375" ht="13.5" customHeight="1">
      <c r="A375" s="1"/>
      <c r="B375" s="1"/>
      <c r="C375" s="1"/>
    </row>
    <row r="376" ht="13.5" customHeight="1">
      <c r="A376" s="1"/>
      <c r="B376" s="1"/>
      <c r="C376" s="1"/>
    </row>
    <row r="377" ht="13.5" customHeight="1">
      <c r="A377" s="1"/>
      <c r="B377" s="1"/>
      <c r="C377" s="1"/>
    </row>
    <row r="378" ht="13.5" customHeight="1">
      <c r="A378" s="1"/>
      <c r="B378" s="1"/>
      <c r="C378" s="1"/>
    </row>
    <row r="379" ht="13.5" customHeight="1">
      <c r="A379" s="1"/>
      <c r="B379" s="1"/>
      <c r="C379" s="1"/>
    </row>
    <row r="380" ht="13.5" customHeight="1">
      <c r="A380" s="1"/>
      <c r="B380" s="1"/>
      <c r="C380" s="1"/>
    </row>
    <row r="381" ht="13.5" customHeight="1">
      <c r="A381" s="1"/>
      <c r="B381" s="1"/>
      <c r="C381" s="1"/>
    </row>
    <row r="382" ht="13.5" customHeight="1">
      <c r="A382" s="1"/>
      <c r="B382" s="1"/>
      <c r="C382" s="1"/>
    </row>
    <row r="383" ht="13.5" customHeight="1">
      <c r="A383" s="1"/>
      <c r="B383" s="1"/>
      <c r="C383" s="1"/>
    </row>
    <row r="384" ht="13.5" customHeight="1">
      <c r="A384" s="1"/>
      <c r="B384" s="1"/>
      <c r="C384" s="1"/>
    </row>
    <row r="385" ht="13.5" customHeight="1">
      <c r="A385" s="1"/>
      <c r="B385" s="1"/>
      <c r="C385" s="1"/>
    </row>
    <row r="386" ht="13.5" customHeight="1">
      <c r="A386" s="1"/>
      <c r="B386" s="1"/>
      <c r="C386" s="1"/>
    </row>
    <row r="387" ht="13.5" customHeight="1">
      <c r="A387" s="1"/>
      <c r="B387" s="1"/>
      <c r="C387" s="1"/>
    </row>
    <row r="388" ht="13.5" customHeight="1">
      <c r="A388" s="1"/>
      <c r="B388" s="1"/>
      <c r="C388" s="1"/>
    </row>
    <row r="389" ht="13.5" customHeight="1">
      <c r="A389" s="1"/>
      <c r="B389" s="1"/>
      <c r="C389" s="1"/>
    </row>
    <row r="390" ht="13.5" customHeight="1">
      <c r="A390" s="1"/>
      <c r="B390" s="1"/>
      <c r="C390" s="1"/>
    </row>
    <row r="391" ht="13.5" customHeight="1">
      <c r="A391" s="1"/>
      <c r="B391" s="1"/>
      <c r="C391" s="1"/>
    </row>
    <row r="392" ht="13.5" customHeight="1">
      <c r="A392" s="1"/>
      <c r="B392" s="1"/>
      <c r="C392" s="1"/>
    </row>
    <row r="393" ht="13.5" customHeight="1">
      <c r="A393" s="1"/>
      <c r="B393" s="1"/>
      <c r="C393" s="1"/>
    </row>
    <row r="394" ht="13.5" customHeight="1">
      <c r="A394" s="1"/>
      <c r="B394" s="1"/>
      <c r="C394" s="1"/>
    </row>
    <row r="395" ht="13.5" customHeight="1">
      <c r="A395" s="1"/>
      <c r="B395" s="1"/>
      <c r="C395" s="1"/>
    </row>
    <row r="396" ht="13.5" customHeight="1">
      <c r="A396" s="1"/>
      <c r="B396" s="1"/>
      <c r="C396" s="1"/>
    </row>
    <row r="397" ht="13.5" customHeight="1">
      <c r="A397" s="1"/>
      <c r="B397" s="1"/>
      <c r="C397" s="1"/>
    </row>
    <row r="398" ht="13.5" customHeight="1">
      <c r="A398" s="1"/>
      <c r="B398" s="1"/>
      <c r="C398" s="1"/>
    </row>
    <row r="399" ht="13.5" customHeight="1">
      <c r="A399" s="1"/>
      <c r="B399" s="1"/>
      <c r="C399" s="1"/>
    </row>
    <row r="400" ht="13.5" customHeight="1">
      <c r="A400" s="1"/>
      <c r="B400" s="1"/>
      <c r="C400" s="1"/>
    </row>
    <row r="401" ht="13.5" customHeight="1">
      <c r="A401" s="1"/>
      <c r="B401" s="1"/>
      <c r="C401" s="1"/>
    </row>
    <row r="402" ht="13.5" customHeight="1">
      <c r="A402" s="1"/>
      <c r="B402" s="1"/>
      <c r="C402" s="1"/>
    </row>
    <row r="403" ht="13.5" customHeight="1">
      <c r="A403" s="1"/>
      <c r="B403" s="1"/>
      <c r="C403" s="1"/>
    </row>
    <row r="404" ht="13.5" customHeight="1">
      <c r="A404" s="1"/>
      <c r="B404" s="1"/>
      <c r="C404" s="1"/>
    </row>
    <row r="405" ht="13.5" customHeight="1">
      <c r="A405" s="1"/>
      <c r="B405" s="1"/>
      <c r="C405" s="1"/>
    </row>
    <row r="406" ht="13.5" customHeight="1">
      <c r="A406" s="1"/>
      <c r="B406" s="1"/>
      <c r="C406" s="1"/>
    </row>
    <row r="407" ht="13.5" customHeight="1">
      <c r="A407" s="1"/>
      <c r="B407" s="1"/>
      <c r="C407" s="1"/>
    </row>
    <row r="408" ht="13.5" customHeight="1">
      <c r="A408" s="1"/>
      <c r="B408" s="1"/>
      <c r="C408" s="1"/>
    </row>
    <row r="409" ht="13.5" customHeight="1">
      <c r="A409" s="1"/>
      <c r="B409" s="1"/>
      <c r="C409" s="1"/>
    </row>
    <row r="410" ht="13.5" customHeight="1">
      <c r="A410" s="1"/>
      <c r="B410" s="1"/>
      <c r="C410" s="1"/>
    </row>
    <row r="411" ht="13.5" customHeight="1">
      <c r="A411" s="1"/>
      <c r="B411" s="1"/>
      <c r="C411" s="1"/>
    </row>
    <row r="412" ht="13.5" customHeight="1">
      <c r="A412" s="1"/>
      <c r="B412" s="1"/>
      <c r="C412" s="1"/>
    </row>
    <row r="413" ht="13.5" customHeight="1">
      <c r="A413" s="1"/>
      <c r="B413" s="1"/>
      <c r="C413" s="1"/>
    </row>
    <row r="414" ht="13.5" customHeight="1">
      <c r="A414" s="1"/>
      <c r="B414" s="1"/>
      <c r="C414" s="1"/>
    </row>
    <row r="415" ht="13.5" customHeight="1">
      <c r="A415" s="1"/>
      <c r="B415" s="1"/>
      <c r="C415" s="1"/>
    </row>
    <row r="416" ht="13.5" customHeight="1">
      <c r="A416" s="1"/>
      <c r="B416" s="1"/>
      <c r="C416" s="1"/>
    </row>
    <row r="417" ht="13.5" customHeight="1">
      <c r="A417" s="1"/>
      <c r="B417" s="1"/>
      <c r="C417" s="1"/>
    </row>
    <row r="418" ht="13.5" customHeight="1">
      <c r="A418" s="1"/>
      <c r="B418" s="1"/>
      <c r="C418" s="1"/>
    </row>
    <row r="419" ht="13.5" customHeight="1">
      <c r="A419" s="1"/>
      <c r="B419" s="1"/>
      <c r="C419" s="1"/>
    </row>
    <row r="420" ht="13.5" customHeight="1">
      <c r="A420" s="1"/>
      <c r="B420" s="1"/>
      <c r="C420" s="1"/>
    </row>
    <row r="421" ht="13.5" customHeight="1">
      <c r="A421" s="1"/>
      <c r="B421" s="1"/>
      <c r="C421" s="1"/>
    </row>
    <row r="422" ht="13.5" customHeight="1">
      <c r="A422" s="1"/>
      <c r="B422" s="1"/>
      <c r="C422" s="1"/>
    </row>
    <row r="423" ht="13.5" customHeight="1">
      <c r="A423" s="1"/>
      <c r="B423" s="1"/>
      <c r="C423" s="1"/>
    </row>
    <row r="424" ht="13.5" customHeight="1">
      <c r="A424" s="1"/>
      <c r="B424" s="1"/>
      <c r="C424" s="1"/>
    </row>
    <row r="425" ht="13.5" customHeight="1">
      <c r="A425" s="1"/>
      <c r="B425" s="1"/>
      <c r="C425" s="1"/>
    </row>
    <row r="426" ht="13.5" customHeight="1">
      <c r="A426" s="1"/>
      <c r="B426" s="1"/>
      <c r="C426" s="1"/>
    </row>
    <row r="427" ht="13.5" customHeight="1">
      <c r="A427" s="1"/>
      <c r="B427" s="1"/>
      <c r="C427" s="1"/>
    </row>
    <row r="428" ht="13.5" customHeight="1">
      <c r="A428" s="1"/>
      <c r="B428" s="1"/>
      <c r="C428" s="1"/>
    </row>
    <row r="429" ht="13.5" customHeight="1">
      <c r="A429" s="1"/>
      <c r="B429" s="1"/>
      <c r="C429" s="1"/>
    </row>
    <row r="430" ht="13.5" customHeight="1">
      <c r="A430" s="1"/>
      <c r="B430" s="1"/>
      <c r="C430" s="1"/>
    </row>
    <row r="431" ht="13.5" customHeight="1">
      <c r="A431" s="1"/>
      <c r="B431" s="1"/>
      <c r="C431" s="1"/>
    </row>
    <row r="432" ht="13.5" customHeight="1">
      <c r="A432" s="1"/>
      <c r="B432" s="1"/>
      <c r="C432" s="1"/>
    </row>
    <row r="433" ht="13.5" customHeight="1">
      <c r="A433" s="1"/>
      <c r="B433" s="1"/>
      <c r="C433" s="1"/>
    </row>
    <row r="434" ht="13.5" customHeight="1">
      <c r="A434" s="1"/>
      <c r="B434" s="1"/>
      <c r="C434" s="1"/>
    </row>
    <row r="435" ht="13.5" customHeight="1">
      <c r="A435" s="1"/>
      <c r="B435" s="1"/>
      <c r="C435" s="1"/>
    </row>
    <row r="436" ht="13.5" customHeight="1">
      <c r="A436" s="1"/>
      <c r="B436" s="1"/>
      <c r="C436" s="1"/>
    </row>
    <row r="437" ht="13.5" customHeight="1">
      <c r="A437" s="1"/>
      <c r="B437" s="1"/>
      <c r="C437" s="1"/>
    </row>
    <row r="438" ht="13.5" customHeight="1">
      <c r="A438" s="1"/>
      <c r="B438" s="1"/>
      <c r="C438" s="1"/>
    </row>
    <row r="439" ht="13.5" customHeight="1">
      <c r="A439" s="1"/>
      <c r="B439" s="1"/>
      <c r="C439" s="1"/>
    </row>
    <row r="440" ht="13.5" customHeight="1">
      <c r="A440" s="1"/>
      <c r="B440" s="1"/>
      <c r="C440" s="1"/>
    </row>
    <row r="441" ht="13.5" customHeight="1">
      <c r="A441" s="1"/>
      <c r="B441" s="1"/>
      <c r="C441" s="1"/>
    </row>
    <row r="442" ht="13.5" customHeight="1">
      <c r="A442" s="1"/>
      <c r="B442" s="1"/>
      <c r="C442" s="1"/>
    </row>
    <row r="443" ht="13.5" customHeight="1">
      <c r="A443" s="1"/>
      <c r="B443" s="1"/>
      <c r="C443" s="1"/>
    </row>
    <row r="444" ht="13.5" customHeight="1">
      <c r="A444" s="1"/>
      <c r="B444" s="1"/>
      <c r="C444" s="1"/>
    </row>
    <row r="445" ht="13.5" customHeight="1">
      <c r="A445" s="1"/>
      <c r="B445" s="1"/>
      <c r="C445" s="1"/>
    </row>
    <row r="446" ht="13.5" customHeight="1">
      <c r="A446" s="1"/>
      <c r="B446" s="1"/>
      <c r="C446" s="1"/>
    </row>
    <row r="447" ht="13.5" customHeight="1">
      <c r="A447" s="1"/>
      <c r="B447" s="1"/>
      <c r="C447" s="1"/>
    </row>
    <row r="448" ht="13.5" customHeight="1">
      <c r="A448" s="1"/>
      <c r="B448" s="1"/>
      <c r="C448" s="1"/>
    </row>
    <row r="449" ht="13.5" customHeight="1">
      <c r="A449" s="1"/>
      <c r="B449" s="1"/>
      <c r="C449" s="1"/>
    </row>
    <row r="450" ht="13.5" customHeight="1">
      <c r="A450" s="1"/>
      <c r="B450" s="1"/>
      <c r="C450" s="1"/>
    </row>
    <row r="451" ht="13.5" customHeight="1">
      <c r="A451" s="1"/>
      <c r="B451" s="1"/>
      <c r="C451" s="1"/>
    </row>
    <row r="452" ht="13.5" customHeight="1">
      <c r="A452" s="1"/>
      <c r="B452" s="1"/>
      <c r="C452" s="1"/>
    </row>
    <row r="453" ht="13.5" customHeight="1">
      <c r="A453" s="1"/>
      <c r="B453" s="1"/>
      <c r="C453" s="1"/>
    </row>
    <row r="454" ht="13.5" customHeight="1">
      <c r="A454" s="1"/>
      <c r="B454" s="1"/>
      <c r="C454" s="1"/>
    </row>
    <row r="455" ht="13.5" customHeight="1">
      <c r="A455" s="1"/>
      <c r="B455" s="1"/>
      <c r="C455" s="1"/>
    </row>
    <row r="456" ht="13.5" customHeight="1">
      <c r="A456" s="1"/>
      <c r="B456" s="1"/>
      <c r="C456" s="1"/>
    </row>
    <row r="457" ht="13.5" customHeight="1">
      <c r="A457" s="1"/>
      <c r="B457" s="1"/>
      <c r="C457" s="1"/>
    </row>
    <row r="458" ht="13.5" customHeight="1">
      <c r="A458" s="1"/>
      <c r="B458" s="1"/>
      <c r="C458" s="1"/>
    </row>
    <row r="459" ht="13.5" customHeight="1">
      <c r="A459" s="1"/>
      <c r="B459" s="1"/>
      <c r="C459" s="1"/>
    </row>
    <row r="460" ht="13.5" customHeight="1">
      <c r="A460" s="1"/>
      <c r="B460" s="1"/>
      <c r="C460" s="1"/>
    </row>
    <row r="461" ht="13.5" customHeight="1">
      <c r="A461" s="1"/>
      <c r="B461" s="1"/>
      <c r="C461" s="1"/>
    </row>
    <row r="462" ht="13.5" customHeight="1">
      <c r="A462" s="1"/>
      <c r="B462" s="1"/>
      <c r="C462" s="1"/>
    </row>
    <row r="463" ht="13.5" customHeight="1">
      <c r="A463" s="1"/>
      <c r="B463" s="1"/>
      <c r="C463" s="1"/>
    </row>
    <row r="464" ht="13.5" customHeight="1">
      <c r="A464" s="1"/>
      <c r="B464" s="1"/>
      <c r="C464" s="1"/>
    </row>
    <row r="465" ht="13.5" customHeight="1">
      <c r="A465" s="1"/>
      <c r="B465" s="1"/>
      <c r="C465" s="1"/>
    </row>
    <row r="466" ht="13.5" customHeight="1">
      <c r="A466" s="1"/>
      <c r="B466" s="1"/>
      <c r="C466" s="1"/>
    </row>
    <row r="467" ht="13.5" customHeight="1">
      <c r="A467" s="1"/>
      <c r="B467" s="1"/>
      <c r="C467" s="1"/>
    </row>
    <row r="468" ht="13.5" customHeight="1">
      <c r="A468" s="1"/>
      <c r="B468" s="1"/>
      <c r="C468" s="1"/>
    </row>
    <row r="469" ht="13.5" customHeight="1">
      <c r="A469" s="1"/>
      <c r="B469" s="1"/>
      <c r="C469" s="1"/>
    </row>
    <row r="470" ht="13.5" customHeight="1">
      <c r="A470" s="1"/>
      <c r="B470" s="1"/>
      <c r="C470" s="1"/>
    </row>
    <row r="471" ht="13.5" customHeight="1">
      <c r="A471" s="1"/>
      <c r="B471" s="1"/>
      <c r="C471" s="1"/>
    </row>
    <row r="472" ht="13.5" customHeight="1">
      <c r="A472" s="1"/>
      <c r="B472" s="1"/>
      <c r="C472" s="1"/>
    </row>
    <row r="473" ht="13.5" customHeight="1">
      <c r="A473" s="1"/>
      <c r="B473" s="1"/>
      <c r="C473" s="1"/>
    </row>
    <row r="474" ht="13.5" customHeight="1">
      <c r="A474" s="1"/>
      <c r="B474" s="1"/>
      <c r="C474" s="1"/>
    </row>
    <row r="475" ht="13.5" customHeight="1">
      <c r="A475" s="1"/>
      <c r="B475" s="1"/>
      <c r="C475" s="1"/>
    </row>
    <row r="476" ht="13.5" customHeight="1">
      <c r="A476" s="1"/>
      <c r="B476" s="1"/>
      <c r="C476" s="1"/>
    </row>
    <row r="477" ht="13.5" customHeight="1">
      <c r="A477" s="1"/>
      <c r="B477" s="1"/>
      <c r="C477" s="1"/>
    </row>
    <row r="478" ht="13.5" customHeight="1">
      <c r="A478" s="1"/>
      <c r="B478" s="1"/>
      <c r="C478" s="1"/>
    </row>
    <row r="479" ht="13.5" customHeight="1">
      <c r="A479" s="1"/>
      <c r="B479" s="1"/>
      <c r="C479" s="1"/>
    </row>
    <row r="480" ht="13.5" customHeight="1">
      <c r="A480" s="1"/>
      <c r="B480" s="1"/>
      <c r="C480" s="1"/>
    </row>
    <row r="481" ht="13.5" customHeight="1">
      <c r="A481" s="1"/>
      <c r="B481" s="1"/>
      <c r="C481" s="1"/>
    </row>
    <row r="482" ht="13.5" customHeight="1">
      <c r="A482" s="1"/>
      <c r="B482" s="1"/>
      <c r="C482" s="1"/>
    </row>
    <row r="483" ht="13.5" customHeight="1">
      <c r="A483" s="1"/>
      <c r="B483" s="1"/>
      <c r="C483" s="1"/>
    </row>
    <row r="484" ht="13.5" customHeight="1">
      <c r="A484" s="1"/>
      <c r="B484" s="1"/>
      <c r="C484" s="1"/>
    </row>
    <row r="485" ht="13.5" customHeight="1">
      <c r="A485" s="1"/>
      <c r="B485" s="1"/>
      <c r="C485" s="1"/>
    </row>
    <row r="486" ht="13.5" customHeight="1">
      <c r="A486" s="1"/>
      <c r="B486" s="1"/>
      <c r="C486" s="1"/>
    </row>
    <row r="487" ht="13.5" customHeight="1">
      <c r="A487" s="1"/>
      <c r="B487" s="1"/>
      <c r="C487" s="1"/>
    </row>
    <row r="488" ht="13.5" customHeight="1">
      <c r="A488" s="1"/>
      <c r="B488" s="1"/>
      <c r="C488" s="1"/>
    </row>
    <row r="489" ht="13.5" customHeight="1">
      <c r="A489" s="1"/>
      <c r="B489" s="1"/>
      <c r="C489" s="1"/>
    </row>
    <row r="490" ht="13.5" customHeight="1">
      <c r="A490" s="1"/>
      <c r="B490" s="1"/>
      <c r="C490" s="1"/>
    </row>
    <row r="491" ht="13.5" customHeight="1">
      <c r="A491" s="1"/>
      <c r="B491" s="1"/>
      <c r="C491" s="1"/>
    </row>
    <row r="492" ht="13.5" customHeight="1">
      <c r="A492" s="1"/>
      <c r="B492" s="1"/>
      <c r="C492" s="1"/>
    </row>
    <row r="493" ht="13.5" customHeight="1">
      <c r="A493" s="1"/>
      <c r="B493" s="1"/>
      <c r="C493" s="1"/>
    </row>
    <row r="494" ht="13.5" customHeight="1">
      <c r="A494" s="1"/>
      <c r="B494" s="1"/>
      <c r="C494" s="1"/>
    </row>
    <row r="495" ht="13.5" customHeight="1">
      <c r="A495" s="1"/>
      <c r="B495" s="1"/>
      <c r="C495" s="1"/>
    </row>
    <row r="496" ht="13.5" customHeight="1">
      <c r="A496" s="1"/>
      <c r="B496" s="1"/>
      <c r="C496" s="1"/>
    </row>
    <row r="497" ht="13.5" customHeight="1">
      <c r="A497" s="1"/>
      <c r="B497" s="1"/>
      <c r="C497" s="1"/>
    </row>
    <row r="498" ht="13.5" customHeight="1">
      <c r="A498" s="1"/>
      <c r="B498" s="1"/>
      <c r="C498" s="1"/>
    </row>
    <row r="499" ht="13.5" customHeight="1">
      <c r="A499" s="1"/>
      <c r="B499" s="1"/>
      <c r="C499" s="1"/>
    </row>
    <row r="500" ht="13.5" customHeight="1">
      <c r="A500" s="1"/>
      <c r="B500" s="1"/>
      <c r="C500" s="1"/>
    </row>
    <row r="501" ht="13.5" customHeight="1">
      <c r="A501" s="1"/>
      <c r="B501" s="1"/>
      <c r="C501" s="1"/>
    </row>
    <row r="502" ht="13.5" customHeight="1">
      <c r="A502" s="1"/>
      <c r="B502" s="1"/>
      <c r="C502" s="1"/>
    </row>
    <row r="503" ht="13.5" customHeight="1">
      <c r="A503" s="1"/>
      <c r="B503" s="1"/>
      <c r="C503" s="1"/>
    </row>
    <row r="504" ht="13.5" customHeight="1">
      <c r="A504" s="1"/>
      <c r="B504" s="1"/>
      <c r="C504" s="1"/>
    </row>
    <row r="505" ht="13.5" customHeight="1">
      <c r="A505" s="1"/>
      <c r="B505" s="1"/>
      <c r="C505" s="1"/>
    </row>
    <row r="506" ht="13.5" customHeight="1">
      <c r="A506" s="1"/>
      <c r="B506" s="1"/>
      <c r="C506" s="1"/>
    </row>
    <row r="507" ht="13.5" customHeight="1">
      <c r="A507" s="1"/>
      <c r="B507" s="1"/>
      <c r="C507" s="1"/>
    </row>
    <row r="508" ht="13.5" customHeight="1">
      <c r="A508" s="1"/>
      <c r="B508" s="1"/>
      <c r="C508" s="1"/>
    </row>
    <row r="509" ht="13.5" customHeight="1">
      <c r="A509" s="1"/>
      <c r="B509" s="1"/>
      <c r="C509" s="1"/>
    </row>
    <row r="510" ht="13.5" customHeight="1">
      <c r="A510" s="1"/>
      <c r="B510" s="1"/>
      <c r="C510" s="1"/>
    </row>
    <row r="511" ht="13.5" customHeight="1">
      <c r="A511" s="1"/>
      <c r="B511" s="1"/>
      <c r="C511" s="1"/>
    </row>
    <row r="512" ht="13.5" customHeight="1">
      <c r="A512" s="1"/>
      <c r="B512" s="1"/>
      <c r="C512" s="1"/>
    </row>
    <row r="513" ht="13.5" customHeight="1">
      <c r="A513" s="1"/>
      <c r="B513" s="1"/>
      <c r="C513" s="1"/>
    </row>
    <row r="514" ht="13.5" customHeight="1">
      <c r="A514" s="1"/>
      <c r="B514" s="1"/>
      <c r="C514" s="1"/>
    </row>
    <row r="515" ht="13.5" customHeight="1">
      <c r="A515" s="1"/>
      <c r="B515" s="1"/>
      <c r="C515" s="1"/>
    </row>
    <row r="516" ht="13.5" customHeight="1">
      <c r="A516" s="1"/>
      <c r="B516" s="1"/>
      <c r="C516" s="1"/>
    </row>
    <row r="517" ht="13.5" customHeight="1">
      <c r="A517" s="1"/>
      <c r="B517" s="1"/>
      <c r="C517" s="1"/>
    </row>
    <row r="518" ht="13.5" customHeight="1">
      <c r="A518" s="1"/>
      <c r="B518" s="1"/>
      <c r="C518" s="1"/>
    </row>
    <row r="519" ht="13.5" customHeight="1">
      <c r="A519" s="1"/>
      <c r="B519" s="1"/>
      <c r="C519" s="1"/>
    </row>
    <row r="520" ht="13.5" customHeight="1">
      <c r="A520" s="1"/>
      <c r="B520" s="1"/>
      <c r="C520" s="1"/>
    </row>
    <row r="521" ht="13.5" customHeight="1">
      <c r="A521" s="1"/>
      <c r="B521" s="1"/>
      <c r="C521" s="1"/>
    </row>
    <row r="522" ht="13.5" customHeight="1">
      <c r="A522" s="1"/>
      <c r="B522" s="1"/>
      <c r="C522" s="1"/>
    </row>
    <row r="523" ht="13.5" customHeight="1">
      <c r="A523" s="1"/>
      <c r="B523" s="1"/>
      <c r="C523" s="1"/>
    </row>
    <row r="524" ht="13.5" customHeight="1">
      <c r="A524" s="1"/>
      <c r="B524" s="1"/>
      <c r="C524" s="1"/>
    </row>
    <row r="525" ht="13.5" customHeight="1">
      <c r="A525" s="1"/>
      <c r="B525" s="1"/>
      <c r="C525" s="1"/>
    </row>
    <row r="526" ht="13.5" customHeight="1">
      <c r="A526" s="1"/>
      <c r="B526" s="1"/>
      <c r="C526" s="1"/>
    </row>
    <row r="527" ht="13.5" customHeight="1">
      <c r="A527" s="1"/>
      <c r="B527" s="1"/>
      <c r="C527" s="1"/>
    </row>
    <row r="528" ht="13.5" customHeight="1">
      <c r="A528" s="1"/>
      <c r="B528" s="1"/>
      <c r="C528" s="1"/>
    </row>
    <row r="529" ht="13.5" customHeight="1">
      <c r="A529" s="1"/>
      <c r="B529" s="1"/>
      <c r="C529" s="1"/>
    </row>
    <row r="530" ht="13.5" customHeight="1">
      <c r="A530" s="1"/>
      <c r="B530" s="1"/>
      <c r="C530" s="1"/>
    </row>
    <row r="531" ht="13.5" customHeight="1">
      <c r="A531" s="1"/>
      <c r="B531" s="1"/>
      <c r="C531" s="1"/>
    </row>
    <row r="532" ht="13.5" customHeight="1">
      <c r="A532" s="1"/>
      <c r="B532" s="1"/>
      <c r="C532" s="1"/>
    </row>
    <row r="533" ht="13.5" customHeight="1">
      <c r="A533" s="1"/>
      <c r="B533" s="1"/>
      <c r="C533" s="1"/>
    </row>
    <row r="534" ht="13.5" customHeight="1">
      <c r="A534" s="1"/>
      <c r="B534" s="1"/>
      <c r="C534" s="1"/>
    </row>
    <row r="535" ht="13.5" customHeight="1">
      <c r="A535" s="1"/>
      <c r="B535" s="1"/>
      <c r="C535" s="1"/>
    </row>
    <row r="536" ht="13.5" customHeight="1">
      <c r="A536" s="1"/>
      <c r="B536" s="1"/>
      <c r="C536" s="1"/>
    </row>
    <row r="537" ht="13.5" customHeight="1">
      <c r="A537" s="1"/>
      <c r="B537" s="1"/>
      <c r="C537" s="1"/>
    </row>
    <row r="538" ht="13.5" customHeight="1">
      <c r="A538" s="1"/>
      <c r="B538" s="1"/>
      <c r="C538" s="1"/>
    </row>
    <row r="539" ht="13.5" customHeight="1">
      <c r="A539" s="1"/>
      <c r="B539" s="1"/>
      <c r="C539" s="1"/>
    </row>
    <row r="540" ht="13.5" customHeight="1">
      <c r="A540" s="1"/>
      <c r="B540" s="1"/>
      <c r="C540" s="1"/>
    </row>
    <row r="541" ht="13.5" customHeight="1">
      <c r="A541" s="1"/>
      <c r="B541" s="1"/>
      <c r="C541" s="1"/>
    </row>
    <row r="542" ht="13.5" customHeight="1">
      <c r="A542" s="1"/>
      <c r="B542" s="1"/>
      <c r="C542" s="1"/>
    </row>
    <row r="543" ht="13.5" customHeight="1">
      <c r="A543" s="1"/>
      <c r="B543" s="1"/>
      <c r="C543" s="1"/>
    </row>
    <row r="544" ht="13.5" customHeight="1">
      <c r="A544" s="1"/>
      <c r="B544" s="1"/>
      <c r="C544" s="1"/>
    </row>
    <row r="545" ht="13.5" customHeight="1">
      <c r="A545" s="1"/>
      <c r="B545" s="1"/>
      <c r="C545" s="1"/>
    </row>
    <row r="546" ht="13.5" customHeight="1">
      <c r="A546" s="1"/>
      <c r="B546" s="1"/>
      <c r="C546" s="1"/>
    </row>
    <row r="547" ht="13.5" customHeight="1">
      <c r="A547" s="1"/>
      <c r="B547" s="1"/>
      <c r="C547" s="1"/>
    </row>
    <row r="548" ht="13.5" customHeight="1">
      <c r="A548" s="1"/>
      <c r="B548" s="1"/>
      <c r="C548" s="1"/>
    </row>
    <row r="549" ht="13.5" customHeight="1">
      <c r="A549" s="1"/>
      <c r="B549" s="1"/>
      <c r="C549" s="1"/>
    </row>
    <row r="550" ht="13.5" customHeight="1">
      <c r="A550" s="1"/>
      <c r="B550" s="1"/>
      <c r="C550" s="1"/>
    </row>
    <row r="551" ht="13.5" customHeight="1">
      <c r="A551" s="1"/>
      <c r="B551" s="1"/>
      <c r="C551" s="1"/>
    </row>
    <row r="552" ht="13.5" customHeight="1">
      <c r="A552" s="1"/>
      <c r="B552" s="1"/>
      <c r="C552" s="1"/>
    </row>
    <row r="553" ht="13.5" customHeight="1">
      <c r="A553" s="1"/>
      <c r="B553" s="1"/>
      <c r="C553" s="1"/>
    </row>
    <row r="554" ht="13.5" customHeight="1">
      <c r="A554" s="1"/>
      <c r="B554" s="1"/>
      <c r="C554" s="1"/>
    </row>
    <row r="555" ht="13.5" customHeight="1">
      <c r="A555" s="1"/>
      <c r="B555" s="1"/>
      <c r="C555" s="1"/>
    </row>
    <row r="556" ht="13.5" customHeight="1">
      <c r="A556" s="1"/>
      <c r="B556" s="1"/>
      <c r="C556" s="1"/>
    </row>
    <row r="557" ht="13.5" customHeight="1">
      <c r="A557" s="1"/>
      <c r="B557" s="1"/>
      <c r="C557" s="1"/>
    </row>
    <row r="558" ht="13.5" customHeight="1">
      <c r="A558" s="1"/>
      <c r="B558" s="1"/>
      <c r="C558" s="1"/>
    </row>
    <row r="559" ht="13.5" customHeight="1">
      <c r="A559" s="1"/>
      <c r="B559" s="1"/>
      <c r="C559" s="1"/>
    </row>
    <row r="560" ht="13.5" customHeight="1">
      <c r="A560" s="1"/>
      <c r="B560" s="1"/>
      <c r="C560" s="1"/>
    </row>
    <row r="561" ht="13.5" customHeight="1">
      <c r="A561" s="1"/>
      <c r="B561" s="1"/>
      <c r="C561" s="1"/>
    </row>
    <row r="562" ht="13.5" customHeight="1">
      <c r="A562" s="1"/>
      <c r="B562" s="1"/>
      <c r="C562" s="1"/>
    </row>
    <row r="563" ht="13.5" customHeight="1">
      <c r="A563" s="1"/>
      <c r="B563" s="1"/>
      <c r="C563" s="1"/>
    </row>
    <row r="564" ht="13.5" customHeight="1">
      <c r="A564" s="1"/>
      <c r="B564" s="1"/>
      <c r="C564" s="1"/>
    </row>
    <row r="565" ht="13.5" customHeight="1">
      <c r="A565" s="1"/>
      <c r="B565" s="1"/>
      <c r="C565" s="1"/>
    </row>
    <row r="566" ht="13.5" customHeight="1">
      <c r="A566" s="1"/>
      <c r="B566" s="1"/>
      <c r="C566" s="1"/>
    </row>
    <row r="567" ht="13.5" customHeight="1">
      <c r="A567" s="1"/>
      <c r="B567" s="1"/>
      <c r="C567" s="1"/>
    </row>
    <row r="568" ht="13.5" customHeight="1">
      <c r="A568" s="1"/>
      <c r="B568" s="1"/>
      <c r="C568" s="1"/>
    </row>
    <row r="569" ht="13.5" customHeight="1">
      <c r="A569" s="1"/>
      <c r="B569" s="1"/>
      <c r="C569" s="1"/>
    </row>
    <row r="570" ht="13.5" customHeight="1">
      <c r="A570" s="1"/>
      <c r="B570" s="1"/>
      <c r="C570" s="1"/>
    </row>
    <row r="571" ht="13.5" customHeight="1">
      <c r="A571" s="1"/>
      <c r="B571" s="1"/>
      <c r="C571" s="1"/>
    </row>
    <row r="572" ht="13.5" customHeight="1">
      <c r="A572" s="1"/>
      <c r="B572" s="1"/>
      <c r="C572" s="1"/>
    </row>
    <row r="573" ht="13.5" customHeight="1">
      <c r="A573" s="1"/>
      <c r="B573" s="1"/>
      <c r="C573" s="1"/>
    </row>
    <row r="574" ht="13.5" customHeight="1">
      <c r="A574" s="1"/>
      <c r="B574" s="1"/>
      <c r="C574" s="1"/>
    </row>
    <row r="575" ht="13.5" customHeight="1">
      <c r="A575" s="1"/>
      <c r="B575" s="1"/>
      <c r="C575" s="1"/>
    </row>
    <row r="576" ht="13.5" customHeight="1">
      <c r="A576" s="1"/>
      <c r="B576" s="1"/>
      <c r="C576" s="1"/>
    </row>
    <row r="577" ht="13.5" customHeight="1">
      <c r="A577" s="1"/>
      <c r="B577" s="1"/>
      <c r="C577" s="1"/>
    </row>
    <row r="578" ht="13.5" customHeight="1">
      <c r="A578" s="1"/>
      <c r="B578" s="1"/>
      <c r="C578" s="1"/>
    </row>
    <row r="579" ht="13.5" customHeight="1">
      <c r="A579" s="1"/>
      <c r="B579" s="1"/>
      <c r="C579" s="1"/>
    </row>
    <row r="580" ht="13.5" customHeight="1">
      <c r="A580" s="1"/>
      <c r="B580" s="1"/>
      <c r="C580" s="1"/>
    </row>
    <row r="581" ht="13.5" customHeight="1">
      <c r="A581" s="1"/>
      <c r="B581" s="1"/>
      <c r="C581" s="1"/>
    </row>
    <row r="582" ht="13.5" customHeight="1">
      <c r="A582" s="1"/>
      <c r="B582" s="1"/>
      <c r="C582" s="1"/>
    </row>
    <row r="583" ht="13.5" customHeight="1">
      <c r="A583" s="1"/>
      <c r="B583" s="1"/>
      <c r="C583" s="1"/>
    </row>
    <row r="584" ht="13.5" customHeight="1">
      <c r="A584" s="1"/>
      <c r="B584" s="1"/>
      <c r="C584" s="1"/>
    </row>
    <row r="585" ht="13.5" customHeight="1">
      <c r="A585" s="1"/>
      <c r="B585" s="1"/>
      <c r="C585" s="1"/>
    </row>
    <row r="586" ht="13.5" customHeight="1">
      <c r="A586" s="1"/>
      <c r="B586" s="1"/>
      <c r="C586" s="1"/>
    </row>
    <row r="587" ht="13.5" customHeight="1">
      <c r="A587" s="1"/>
      <c r="B587" s="1"/>
      <c r="C587" s="1"/>
    </row>
    <row r="588" ht="13.5" customHeight="1">
      <c r="A588" s="1"/>
      <c r="B588" s="1"/>
      <c r="C588" s="1"/>
    </row>
    <row r="589" ht="13.5" customHeight="1">
      <c r="A589" s="1"/>
      <c r="B589" s="1"/>
      <c r="C589" s="1"/>
    </row>
    <row r="590" ht="13.5" customHeight="1">
      <c r="A590" s="1"/>
      <c r="B590" s="1"/>
      <c r="C590" s="1"/>
    </row>
    <row r="591" ht="13.5" customHeight="1">
      <c r="A591" s="1"/>
      <c r="B591" s="1"/>
      <c r="C591" s="1"/>
    </row>
    <row r="592" ht="13.5" customHeight="1">
      <c r="A592" s="1"/>
      <c r="B592" s="1"/>
      <c r="C592" s="1"/>
    </row>
    <row r="593" ht="13.5" customHeight="1">
      <c r="A593" s="1"/>
      <c r="B593" s="1"/>
      <c r="C593" s="1"/>
    </row>
    <row r="594" ht="13.5" customHeight="1">
      <c r="A594" s="1"/>
      <c r="B594" s="1"/>
      <c r="C594" s="1"/>
    </row>
    <row r="595" ht="13.5" customHeight="1">
      <c r="A595" s="1"/>
      <c r="B595" s="1"/>
      <c r="C595" s="1"/>
    </row>
    <row r="596" ht="13.5" customHeight="1">
      <c r="A596" s="1"/>
      <c r="B596" s="1"/>
      <c r="C596" s="1"/>
    </row>
    <row r="597" ht="13.5" customHeight="1">
      <c r="A597" s="1"/>
      <c r="B597" s="1"/>
      <c r="C597" s="1"/>
    </row>
    <row r="598" ht="13.5" customHeight="1">
      <c r="A598" s="1"/>
      <c r="B598" s="1"/>
      <c r="C598" s="1"/>
    </row>
    <row r="599" ht="13.5" customHeight="1">
      <c r="A599" s="1"/>
      <c r="B599" s="1"/>
      <c r="C599" s="1"/>
    </row>
    <row r="600" ht="13.5" customHeight="1">
      <c r="A600" s="1"/>
      <c r="B600" s="1"/>
      <c r="C600" s="1"/>
    </row>
    <row r="601" ht="13.5" customHeight="1">
      <c r="A601" s="1"/>
      <c r="B601" s="1"/>
      <c r="C601" s="1"/>
    </row>
    <row r="602" ht="13.5" customHeight="1">
      <c r="A602" s="1"/>
      <c r="B602" s="1"/>
      <c r="C602" s="1"/>
    </row>
    <row r="603" ht="13.5" customHeight="1">
      <c r="A603" s="1"/>
      <c r="B603" s="1"/>
      <c r="C603" s="1"/>
    </row>
    <row r="604" ht="13.5" customHeight="1">
      <c r="A604" s="1"/>
      <c r="B604" s="1"/>
      <c r="C604" s="1"/>
    </row>
    <row r="605" ht="13.5" customHeight="1">
      <c r="A605" s="1"/>
      <c r="B605" s="1"/>
      <c r="C605" s="1"/>
    </row>
    <row r="606" ht="13.5" customHeight="1">
      <c r="A606" s="1"/>
      <c r="B606" s="1"/>
      <c r="C606" s="1"/>
    </row>
    <row r="607" ht="13.5" customHeight="1">
      <c r="A607" s="1"/>
      <c r="B607" s="1"/>
      <c r="C607" s="1"/>
    </row>
    <row r="608" ht="13.5" customHeight="1">
      <c r="A608" s="1"/>
      <c r="B608" s="1"/>
      <c r="C608" s="1"/>
    </row>
    <row r="609" ht="13.5" customHeight="1">
      <c r="A609" s="1"/>
      <c r="B609" s="1"/>
      <c r="C609" s="1"/>
    </row>
    <row r="610" ht="13.5" customHeight="1">
      <c r="A610" s="1"/>
      <c r="B610" s="1"/>
      <c r="C610" s="1"/>
    </row>
    <row r="611" ht="13.5" customHeight="1">
      <c r="A611" s="1"/>
      <c r="B611" s="1"/>
      <c r="C611" s="1"/>
    </row>
    <row r="612" ht="13.5" customHeight="1">
      <c r="A612" s="1"/>
      <c r="B612" s="1"/>
      <c r="C612" s="1"/>
    </row>
    <row r="613" ht="13.5" customHeight="1">
      <c r="A613" s="1"/>
      <c r="B613" s="1"/>
      <c r="C613" s="1"/>
    </row>
    <row r="614" ht="13.5" customHeight="1">
      <c r="A614" s="1"/>
      <c r="B614" s="1"/>
      <c r="C614" s="1"/>
    </row>
    <row r="615" ht="13.5" customHeight="1">
      <c r="A615" s="1"/>
      <c r="B615" s="1"/>
      <c r="C615" s="1"/>
    </row>
    <row r="616" ht="13.5" customHeight="1">
      <c r="A616" s="1"/>
      <c r="B616" s="1"/>
      <c r="C616" s="1"/>
    </row>
    <row r="617" ht="13.5" customHeight="1">
      <c r="A617" s="1"/>
      <c r="B617" s="1"/>
      <c r="C617" s="1"/>
    </row>
    <row r="618" ht="13.5" customHeight="1">
      <c r="A618" s="1"/>
      <c r="B618" s="1"/>
      <c r="C618" s="1"/>
    </row>
    <row r="619" ht="13.5" customHeight="1">
      <c r="A619" s="1"/>
      <c r="B619" s="1"/>
      <c r="C619" s="1"/>
    </row>
    <row r="620" ht="13.5" customHeight="1">
      <c r="A620" s="1"/>
      <c r="B620" s="1"/>
      <c r="C620" s="1"/>
    </row>
    <row r="621" ht="13.5" customHeight="1">
      <c r="A621" s="1"/>
      <c r="B621" s="1"/>
      <c r="C621" s="1"/>
    </row>
    <row r="622" ht="13.5" customHeight="1">
      <c r="A622" s="1"/>
      <c r="B622" s="1"/>
      <c r="C622" s="1"/>
    </row>
    <row r="623" ht="13.5" customHeight="1">
      <c r="A623" s="1"/>
      <c r="B623" s="1"/>
      <c r="C623" s="1"/>
    </row>
    <row r="624" ht="13.5" customHeight="1">
      <c r="A624" s="1"/>
      <c r="B624" s="1"/>
      <c r="C624" s="1"/>
    </row>
    <row r="625" ht="13.5" customHeight="1">
      <c r="A625" s="1"/>
      <c r="B625" s="1"/>
      <c r="C625" s="1"/>
    </row>
    <row r="626" ht="13.5" customHeight="1">
      <c r="A626" s="1"/>
      <c r="B626" s="1"/>
      <c r="C626" s="1"/>
    </row>
    <row r="627" ht="13.5" customHeight="1">
      <c r="A627" s="1"/>
      <c r="B627" s="1"/>
      <c r="C627" s="1"/>
    </row>
    <row r="628" ht="13.5" customHeight="1">
      <c r="A628" s="1"/>
      <c r="B628" s="1"/>
      <c r="C628" s="1"/>
    </row>
    <row r="629" ht="13.5" customHeight="1">
      <c r="A629" s="1"/>
      <c r="B629" s="1"/>
      <c r="C629" s="1"/>
    </row>
    <row r="630" ht="13.5" customHeight="1">
      <c r="A630" s="1"/>
      <c r="B630" s="1"/>
      <c r="C630" s="1"/>
    </row>
    <row r="631" ht="13.5" customHeight="1">
      <c r="A631" s="1"/>
      <c r="B631" s="1"/>
      <c r="C631" s="1"/>
    </row>
    <row r="632" ht="13.5" customHeight="1">
      <c r="A632" s="1"/>
      <c r="B632" s="1"/>
      <c r="C632" s="1"/>
    </row>
    <row r="633" ht="13.5" customHeight="1">
      <c r="A633" s="1"/>
      <c r="B633" s="1"/>
      <c r="C633" s="1"/>
    </row>
    <row r="634" ht="13.5" customHeight="1">
      <c r="A634" s="1"/>
      <c r="B634" s="1"/>
      <c r="C634" s="1"/>
    </row>
    <row r="635" ht="13.5" customHeight="1">
      <c r="A635" s="1"/>
      <c r="B635" s="1"/>
      <c r="C635" s="1"/>
    </row>
    <row r="636" ht="13.5" customHeight="1">
      <c r="A636" s="1"/>
      <c r="B636" s="1"/>
      <c r="C636" s="1"/>
    </row>
    <row r="637" ht="13.5" customHeight="1">
      <c r="A637" s="1"/>
      <c r="B637" s="1"/>
      <c r="C637" s="1"/>
    </row>
    <row r="638" ht="13.5" customHeight="1">
      <c r="A638" s="1"/>
      <c r="B638" s="1"/>
      <c r="C638" s="1"/>
    </row>
    <row r="639" ht="13.5" customHeight="1">
      <c r="A639" s="1"/>
      <c r="B639" s="1"/>
      <c r="C639" s="1"/>
    </row>
    <row r="640" ht="13.5" customHeight="1">
      <c r="A640" s="1"/>
      <c r="B640" s="1"/>
      <c r="C640" s="1"/>
    </row>
    <row r="641" ht="13.5" customHeight="1">
      <c r="A641" s="1"/>
      <c r="B641" s="1"/>
      <c r="C641" s="1"/>
    </row>
    <row r="642" ht="13.5" customHeight="1">
      <c r="A642" s="1"/>
      <c r="B642" s="1"/>
      <c r="C642" s="1"/>
    </row>
    <row r="643" ht="13.5" customHeight="1">
      <c r="A643" s="1"/>
      <c r="B643" s="1"/>
      <c r="C643" s="1"/>
    </row>
    <row r="644" ht="13.5" customHeight="1">
      <c r="A644" s="1"/>
      <c r="B644" s="1"/>
      <c r="C644" s="1"/>
    </row>
    <row r="645" ht="13.5" customHeight="1">
      <c r="A645" s="1"/>
      <c r="B645" s="1"/>
      <c r="C645" s="1"/>
    </row>
    <row r="646" ht="13.5" customHeight="1">
      <c r="A646" s="1"/>
      <c r="B646" s="1"/>
      <c r="C646" s="1"/>
    </row>
    <row r="647" ht="13.5" customHeight="1">
      <c r="A647" s="1"/>
      <c r="B647" s="1"/>
      <c r="C647" s="1"/>
    </row>
    <row r="648" ht="13.5" customHeight="1">
      <c r="A648" s="1"/>
      <c r="B648" s="1"/>
      <c r="C648" s="1"/>
    </row>
    <row r="649" ht="13.5" customHeight="1">
      <c r="A649" s="1"/>
      <c r="B649" s="1"/>
      <c r="C649" s="1"/>
    </row>
    <row r="650" ht="13.5" customHeight="1">
      <c r="A650" s="1"/>
      <c r="B650" s="1"/>
      <c r="C650" s="1"/>
    </row>
    <row r="651" ht="13.5" customHeight="1">
      <c r="A651" s="1"/>
      <c r="B651" s="1"/>
      <c r="C651" s="1"/>
    </row>
    <row r="652" ht="13.5" customHeight="1">
      <c r="A652" s="1"/>
      <c r="B652" s="1"/>
      <c r="C652" s="1"/>
    </row>
    <row r="653" ht="13.5" customHeight="1">
      <c r="A653" s="1"/>
      <c r="B653" s="1"/>
      <c r="C653" s="1"/>
    </row>
    <row r="654" ht="13.5" customHeight="1">
      <c r="A654" s="1"/>
      <c r="B654" s="1"/>
      <c r="C654" s="1"/>
    </row>
    <row r="655" ht="13.5" customHeight="1">
      <c r="A655" s="1"/>
      <c r="B655" s="1"/>
      <c r="C655" s="1"/>
    </row>
    <row r="656" ht="13.5" customHeight="1">
      <c r="A656" s="1"/>
      <c r="B656" s="1"/>
      <c r="C656" s="1"/>
    </row>
    <row r="657" ht="13.5" customHeight="1">
      <c r="A657" s="1"/>
      <c r="B657" s="1"/>
      <c r="C657" s="1"/>
    </row>
    <row r="658" ht="13.5" customHeight="1">
      <c r="A658" s="1"/>
      <c r="B658" s="1"/>
      <c r="C658" s="1"/>
    </row>
    <row r="659" ht="13.5" customHeight="1">
      <c r="A659" s="1"/>
      <c r="B659" s="1"/>
      <c r="C659" s="1"/>
    </row>
    <row r="660" ht="13.5" customHeight="1">
      <c r="A660" s="1"/>
      <c r="B660" s="1"/>
      <c r="C660" s="1"/>
    </row>
    <row r="661" ht="13.5" customHeight="1">
      <c r="A661" s="1"/>
      <c r="B661" s="1"/>
      <c r="C661" s="1"/>
    </row>
    <row r="662" ht="13.5" customHeight="1">
      <c r="A662" s="1"/>
      <c r="B662" s="1"/>
      <c r="C662" s="1"/>
    </row>
    <row r="663" ht="13.5" customHeight="1">
      <c r="A663" s="1"/>
      <c r="B663" s="1"/>
      <c r="C663" s="1"/>
    </row>
    <row r="664" ht="13.5" customHeight="1">
      <c r="A664" s="1"/>
      <c r="B664" s="1"/>
      <c r="C664" s="1"/>
    </row>
    <row r="665" ht="13.5" customHeight="1">
      <c r="A665" s="1"/>
      <c r="B665" s="1"/>
      <c r="C665" s="1"/>
    </row>
    <row r="666" ht="13.5" customHeight="1">
      <c r="A666" s="1"/>
      <c r="B666" s="1"/>
      <c r="C666" s="1"/>
    </row>
    <row r="667" ht="13.5" customHeight="1">
      <c r="A667" s="1"/>
      <c r="B667" s="1"/>
      <c r="C667" s="1"/>
    </row>
    <row r="668" ht="13.5" customHeight="1">
      <c r="A668" s="1"/>
      <c r="B668" s="1"/>
      <c r="C668" s="1"/>
    </row>
    <row r="669" ht="13.5" customHeight="1">
      <c r="A669" s="1"/>
      <c r="B669" s="1"/>
      <c r="C669" s="1"/>
    </row>
    <row r="670" ht="13.5" customHeight="1">
      <c r="A670" s="1"/>
      <c r="B670" s="1"/>
      <c r="C670" s="1"/>
    </row>
    <row r="671" ht="13.5" customHeight="1">
      <c r="A671" s="1"/>
      <c r="B671" s="1"/>
      <c r="C671" s="1"/>
    </row>
    <row r="672" ht="13.5" customHeight="1">
      <c r="A672" s="1"/>
      <c r="B672" s="1"/>
      <c r="C672" s="1"/>
    </row>
    <row r="673" ht="13.5" customHeight="1">
      <c r="A673" s="1"/>
      <c r="B673" s="1"/>
      <c r="C673" s="1"/>
    </row>
    <row r="674" ht="13.5" customHeight="1">
      <c r="A674" s="1"/>
      <c r="B674" s="1"/>
      <c r="C674" s="1"/>
    </row>
    <row r="675" ht="13.5" customHeight="1">
      <c r="A675" s="1"/>
      <c r="B675" s="1"/>
      <c r="C675" s="1"/>
    </row>
    <row r="676" ht="13.5" customHeight="1">
      <c r="A676" s="1"/>
      <c r="B676" s="1"/>
      <c r="C676" s="1"/>
    </row>
    <row r="677" ht="13.5" customHeight="1">
      <c r="A677" s="1"/>
      <c r="B677" s="1"/>
      <c r="C677" s="1"/>
    </row>
    <row r="678" ht="13.5" customHeight="1">
      <c r="A678" s="1"/>
      <c r="B678" s="1"/>
      <c r="C678" s="1"/>
    </row>
    <row r="679" ht="13.5" customHeight="1">
      <c r="A679" s="1"/>
      <c r="B679" s="1"/>
      <c r="C679" s="1"/>
    </row>
    <row r="680" ht="13.5" customHeight="1">
      <c r="A680" s="1"/>
      <c r="B680" s="1"/>
      <c r="C680" s="1"/>
    </row>
    <row r="681" ht="13.5" customHeight="1">
      <c r="A681" s="1"/>
      <c r="B681" s="1"/>
      <c r="C681" s="1"/>
    </row>
    <row r="682" ht="13.5" customHeight="1">
      <c r="A682" s="1"/>
      <c r="B682" s="1"/>
      <c r="C682" s="1"/>
    </row>
    <row r="683" ht="13.5" customHeight="1">
      <c r="A683" s="1"/>
      <c r="B683" s="1"/>
      <c r="C683" s="1"/>
    </row>
    <row r="684" ht="13.5" customHeight="1">
      <c r="A684" s="1"/>
      <c r="B684" s="1"/>
      <c r="C684" s="1"/>
    </row>
    <row r="685" ht="13.5" customHeight="1">
      <c r="A685" s="1"/>
      <c r="B685" s="1"/>
      <c r="C685" s="1"/>
    </row>
    <row r="686" ht="13.5" customHeight="1">
      <c r="A686" s="1"/>
      <c r="B686" s="1"/>
      <c r="C686" s="1"/>
    </row>
    <row r="687" ht="13.5" customHeight="1">
      <c r="A687" s="1"/>
      <c r="B687" s="1"/>
      <c r="C687" s="1"/>
    </row>
    <row r="688" ht="13.5" customHeight="1">
      <c r="A688" s="1"/>
      <c r="B688" s="1"/>
      <c r="C688" s="1"/>
    </row>
    <row r="689" ht="13.5" customHeight="1">
      <c r="A689" s="1"/>
      <c r="B689" s="1"/>
      <c r="C689" s="1"/>
    </row>
    <row r="690" ht="13.5" customHeight="1">
      <c r="A690" s="1"/>
      <c r="B690" s="1"/>
      <c r="C690" s="1"/>
    </row>
    <row r="691" ht="13.5" customHeight="1">
      <c r="A691" s="1"/>
      <c r="B691" s="1"/>
      <c r="C691" s="1"/>
    </row>
    <row r="692" ht="13.5" customHeight="1">
      <c r="A692" s="1"/>
      <c r="B692" s="1"/>
      <c r="C692" s="1"/>
    </row>
    <row r="693" ht="13.5" customHeight="1">
      <c r="A693" s="1"/>
      <c r="B693" s="1"/>
      <c r="C693" s="1"/>
    </row>
    <row r="694" ht="13.5" customHeight="1">
      <c r="A694" s="1"/>
      <c r="B694" s="1"/>
      <c r="C694" s="1"/>
    </row>
    <row r="695" ht="13.5" customHeight="1">
      <c r="A695" s="1"/>
      <c r="B695" s="1"/>
      <c r="C695" s="1"/>
    </row>
    <row r="696" ht="13.5" customHeight="1">
      <c r="A696" s="1"/>
      <c r="B696" s="1"/>
      <c r="C696" s="1"/>
    </row>
    <row r="697" ht="13.5" customHeight="1">
      <c r="A697" s="1"/>
      <c r="B697" s="1"/>
      <c r="C697" s="1"/>
    </row>
    <row r="698" ht="13.5" customHeight="1">
      <c r="A698" s="1"/>
      <c r="B698" s="1"/>
      <c r="C698" s="1"/>
    </row>
    <row r="699" ht="13.5" customHeight="1">
      <c r="A699" s="1"/>
      <c r="B699" s="1"/>
      <c r="C699" s="1"/>
    </row>
    <row r="700" ht="13.5" customHeight="1">
      <c r="A700" s="1"/>
      <c r="B700" s="1"/>
      <c r="C700" s="1"/>
    </row>
    <row r="701" ht="13.5" customHeight="1">
      <c r="A701" s="1"/>
      <c r="B701" s="1"/>
      <c r="C701" s="1"/>
    </row>
    <row r="702" ht="13.5" customHeight="1">
      <c r="A702" s="1"/>
      <c r="B702" s="1"/>
      <c r="C702" s="1"/>
    </row>
    <row r="703" ht="13.5" customHeight="1">
      <c r="A703" s="1"/>
      <c r="B703" s="1"/>
      <c r="C703" s="1"/>
    </row>
    <row r="704" ht="13.5" customHeight="1">
      <c r="A704" s="1"/>
      <c r="B704" s="1"/>
      <c r="C704" s="1"/>
    </row>
    <row r="705" ht="13.5" customHeight="1">
      <c r="A705" s="1"/>
      <c r="B705" s="1"/>
      <c r="C705" s="1"/>
    </row>
    <row r="706" ht="13.5" customHeight="1">
      <c r="A706" s="1"/>
      <c r="B706" s="1"/>
      <c r="C706" s="1"/>
    </row>
    <row r="707" ht="13.5" customHeight="1">
      <c r="A707" s="1"/>
      <c r="B707" s="1"/>
      <c r="C707" s="1"/>
    </row>
    <row r="708" ht="13.5" customHeight="1">
      <c r="A708" s="1"/>
      <c r="B708" s="1"/>
      <c r="C708" s="1"/>
    </row>
    <row r="709" ht="13.5" customHeight="1">
      <c r="A709" s="1"/>
      <c r="B709" s="1"/>
      <c r="C709" s="1"/>
    </row>
    <row r="710" ht="13.5" customHeight="1">
      <c r="A710" s="1"/>
      <c r="B710" s="1"/>
      <c r="C710" s="1"/>
    </row>
    <row r="711" ht="13.5" customHeight="1">
      <c r="A711" s="1"/>
      <c r="B711" s="1"/>
      <c r="C711" s="1"/>
    </row>
    <row r="712" ht="13.5" customHeight="1">
      <c r="A712" s="1"/>
      <c r="B712" s="1"/>
      <c r="C712" s="1"/>
    </row>
    <row r="713" ht="13.5" customHeight="1">
      <c r="A713" s="1"/>
      <c r="B713" s="1"/>
      <c r="C713" s="1"/>
    </row>
    <row r="714" ht="13.5" customHeight="1">
      <c r="A714" s="1"/>
      <c r="B714" s="1"/>
      <c r="C714" s="1"/>
    </row>
    <row r="715" ht="13.5" customHeight="1">
      <c r="A715" s="1"/>
      <c r="B715" s="1"/>
      <c r="C715" s="1"/>
    </row>
    <row r="716" ht="13.5" customHeight="1">
      <c r="A716" s="1"/>
      <c r="B716" s="1"/>
      <c r="C716" s="1"/>
    </row>
    <row r="717" ht="13.5" customHeight="1">
      <c r="A717" s="1"/>
      <c r="B717" s="1"/>
      <c r="C717" s="1"/>
    </row>
    <row r="718" ht="13.5" customHeight="1">
      <c r="A718" s="1"/>
      <c r="B718" s="1"/>
      <c r="C718" s="1"/>
    </row>
    <row r="719" ht="13.5" customHeight="1">
      <c r="A719" s="1"/>
      <c r="B719" s="1"/>
      <c r="C719" s="1"/>
    </row>
    <row r="720" ht="13.5" customHeight="1">
      <c r="A720" s="1"/>
      <c r="B720" s="1"/>
      <c r="C720" s="1"/>
    </row>
    <row r="721" ht="13.5" customHeight="1">
      <c r="A721" s="1"/>
      <c r="B721" s="1"/>
      <c r="C721" s="1"/>
    </row>
    <row r="722" ht="13.5" customHeight="1">
      <c r="A722" s="1"/>
      <c r="B722" s="1"/>
      <c r="C722" s="1"/>
    </row>
    <row r="723" ht="13.5" customHeight="1">
      <c r="A723" s="1"/>
      <c r="B723" s="1"/>
      <c r="C723" s="1"/>
    </row>
    <row r="724" ht="13.5" customHeight="1">
      <c r="A724" s="1"/>
      <c r="B724" s="1"/>
      <c r="C724" s="1"/>
    </row>
    <row r="725" ht="13.5" customHeight="1">
      <c r="A725" s="1"/>
      <c r="B725" s="1"/>
      <c r="C725" s="1"/>
    </row>
    <row r="726" ht="13.5" customHeight="1">
      <c r="A726" s="1"/>
      <c r="B726" s="1"/>
      <c r="C726" s="1"/>
    </row>
    <row r="727" ht="13.5" customHeight="1">
      <c r="A727" s="1"/>
      <c r="B727" s="1"/>
      <c r="C727" s="1"/>
    </row>
    <row r="728" ht="13.5" customHeight="1">
      <c r="A728" s="1"/>
      <c r="B728" s="1"/>
      <c r="C728" s="1"/>
    </row>
    <row r="729" ht="13.5" customHeight="1">
      <c r="A729" s="1"/>
      <c r="B729" s="1"/>
      <c r="C729" s="1"/>
    </row>
    <row r="730" ht="13.5" customHeight="1">
      <c r="A730" s="1"/>
      <c r="B730" s="1"/>
      <c r="C730" s="1"/>
    </row>
    <row r="731" ht="13.5" customHeight="1">
      <c r="A731" s="1"/>
      <c r="B731" s="1"/>
      <c r="C731" s="1"/>
    </row>
    <row r="732" ht="13.5" customHeight="1">
      <c r="A732" s="1"/>
      <c r="B732" s="1"/>
      <c r="C732" s="1"/>
    </row>
    <row r="733" ht="13.5" customHeight="1">
      <c r="A733" s="1"/>
      <c r="B733" s="1"/>
      <c r="C733" s="1"/>
    </row>
    <row r="734" ht="13.5" customHeight="1">
      <c r="A734" s="1"/>
      <c r="B734" s="1"/>
      <c r="C734" s="1"/>
    </row>
    <row r="735" ht="13.5" customHeight="1">
      <c r="A735" s="1"/>
      <c r="B735" s="1"/>
      <c r="C735" s="1"/>
    </row>
    <row r="736" ht="13.5" customHeight="1">
      <c r="A736" s="1"/>
      <c r="B736" s="1"/>
      <c r="C736" s="1"/>
    </row>
    <row r="737" ht="13.5" customHeight="1">
      <c r="A737" s="1"/>
      <c r="B737" s="1"/>
      <c r="C737" s="1"/>
    </row>
    <row r="738" ht="13.5" customHeight="1">
      <c r="A738" s="1"/>
      <c r="B738" s="1"/>
      <c r="C738" s="1"/>
    </row>
    <row r="739" ht="13.5" customHeight="1">
      <c r="A739" s="1"/>
      <c r="B739" s="1"/>
      <c r="C739" s="1"/>
    </row>
    <row r="740" ht="13.5" customHeight="1">
      <c r="A740" s="1"/>
      <c r="B740" s="1"/>
      <c r="C740" s="1"/>
    </row>
    <row r="741" ht="13.5" customHeight="1">
      <c r="A741" s="1"/>
      <c r="B741" s="1"/>
      <c r="C741" s="1"/>
    </row>
    <row r="742" ht="13.5" customHeight="1">
      <c r="A742" s="1"/>
      <c r="B742" s="1"/>
      <c r="C742" s="1"/>
    </row>
    <row r="743" ht="13.5" customHeight="1">
      <c r="A743" s="1"/>
      <c r="B743" s="1"/>
      <c r="C743" s="1"/>
    </row>
    <row r="744" ht="13.5" customHeight="1">
      <c r="A744" s="1"/>
      <c r="B744" s="1"/>
      <c r="C744" s="1"/>
    </row>
    <row r="745" ht="13.5" customHeight="1">
      <c r="A745" s="1"/>
      <c r="B745" s="1"/>
      <c r="C745" s="1"/>
    </row>
    <row r="746" ht="13.5" customHeight="1">
      <c r="A746" s="1"/>
      <c r="B746" s="1"/>
      <c r="C746" s="1"/>
    </row>
    <row r="747" ht="13.5" customHeight="1">
      <c r="A747" s="1"/>
      <c r="B747" s="1"/>
      <c r="C747" s="1"/>
    </row>
    <row r="748" ht="13.5" customHeight="1">
      <c r="A748" s="1"/>
      <c r="B748" s="1"/>
      <c r="C748" s="1"/>
    </row>
    <row r="749" ht="13.5" customHeight="1">
      <c r="A749" s="1"/>
      <c r="B749" s="1"/>
      <c r="C749" s="1"/>
    </row>
    <row r="750" ht="13.5" customHeight="1">
      <c r="A750" s="1"/>
      <c r="B750" s="1"/>
      <c r="C750" s="1"/>
    </row>
    <row r="751" ht="13.5" customHeight="1">
      <c r="A751" s="1"/>
      <c r="B751" s="1"/>
      <c r="C751" s="1"/>
    </row>
    <row r="752" ht="13.5" customHeight="1">
      <c r="A752" s="1"/>
      <c r="B752" s="1"/>
      <c r="C752" s="1"/>
    </row>
    <row r="753" ht="13.5" customHeight="1">
      <c r="A753" s="1"/>
      <c r="B753" s="1"/>
      <c r="C753" s="1"/>
    </row>
    <row r="754" ht="13.5" customHeight="1">
      <c r="A754" s="1"/>
      <c r="B754" s="1"/>
      <c r="C754" s="1"/>
    </row>
    <row r="755" ht="13.5" customHeight="1">
      <c r="A755" s="1"/>
      <c r="B755" s="1"/>
      <c r="C755" s="1"/>
    </row>
    <row r="756" ht="13.5" customHeight="1">
      <c r="A756" s="1"/>
      <c r="B756" s="1"/>
      <c r="C756" s="1"/>
    </row>
    <row r="757" ht="13.5" customHeight="1">
      <c r="A757" s="1"/>
      <c r="B757" s="1"/>
      <c r="C757" s="1"/>
    </row>
    <row r="758" ht="13.5" customHeight="1">
      <c r="A758" s="1"/>
      <c r="B758" s="1"/>
      <c r="C758" s="1"/>
    </row>
    <row r="759" ht="13.5" customHeight="1">
      <c r="A759" s="1"/>
      <c r="B759" s="1"/>
      <c r="C759" s="1"/>
    </row>
    <row r="760" ht="13.5" customHeight="1">
      <c r="A760" s="1"/>
      <c r="B760" s="1"/>
      <c r="C760" s="1"/>
    </row>
    <row r="761" ht="13.5" customHeight="1">
      <c r="A761" s="1"/>
      <c r="B761" s="1"/>
      <c r="C761" s="1"/>
    </row>
    <row r="762" ht="13.5" customHeight="1">
      <c r="A762" s="1"/>
      <c r="B762" s="1"/>
      <c r="C762" s="1"/>
    </row>
    <row r="763" ht="13.5" customHeight="1">
      <c r="A763" s="1"/>
      <c r="B763" s="1"/>
      <c r="C763" s="1"/>
    </row>
    <row r="764" ht="13.5" customHeight="1">
      <c r="A764" s="1"/>
      <c r="B764" s="1"/>
      <c r="C764" s="1"/>
    </row>
    <row r="765" ht="13.5" customHeight="1">
      <c r="A765" s="1"/>
      <c r="B765" s="1"/>
      <c r="C765" s="1"/>
    </row>
    <row r="766" ht="13.5" customHeight="1">
      <c r="A766" s="1"/>
      <c r="B766" s="1"/>
      <c r="C766" s="1"/>
    </row>
    <row r="767" ht="13.5" customHeight="1">
      <c r="A767" s="1"/>
      <c r="B767" s="1"/>
      <c r="C767" s="1"/>
    </row>
    <row r="768" ht="13.5" customHeight="1">
      <c r="A768" s="1"/>
      <c r="B768" s="1"/>
      <c r="C768" s="1"/>
    </row>
    <row r="769" ht="13.5" customHeight="1">
      <c r="A769" s="1"/>
      <c r="B769" s="1"/>
      <c r="C769" s="1"/>
    </row>
    <row r="770" ht="13.5" customHeight="1">
      <c r="A770" s="1"/>
      <c r="B770" s="1"/>
      <c r="C770" s="1"/>
    </row>
    <row r="771" ht="13.5" customHeight="1">
      <c r="A771" s="1"/>
      <c r="B771" s="1"/>
      <c r="C771" s="1"/>
    </row>
    <row r="772" ht="13.5" customHeight="1">
      <c r="A772" s="1"/>
      <c r="B772" s="1"/>
      <c r="C772" s="1"/>
    </row>
    <row r="773" ht="13.5" customHeight="1">
      <c r="A773" s="1"/>
      <c r="B773" s="1"/>
      <c r="C773" s="1"/>
    </row>
    <row r="774" ht="13.5" customHeight="1">
      <c r="A774" s="1"/>
      <c r="B774" s="1"/>
      <c r="C774" s="1"/>
    </row>
    <row r="775" ht="13.5" customHeight="1">
      <c r="A775" s="1"/>
      <c r="B775" s="1"/>
      <c r="C775" s="1"/>
    </row>
    <row r="776" ht="13.5" customHeight="1">
      <c r="A776" s="1"/>
      <c r="B776" s="1"/>
      <c r="C776" s="1"/>
    </row>
    <row r="777" ht="13.5" customHeight="1">
      <c r="A777" s="1"/>
      <c r="B777" s="1"/>
      <c r="C777" s="1"/>
    </row>
    <row r="778" ht="13.5" customHeight="1">
      <c r="A778" s="1"/>
      <c r="B778" s="1"/>
      <c r="C778" s="1"/>
    </row>
    <row r="779" ht="13.5" customHeight="1">
      <c r="A779" s="1"/>
      <c r="B779" s="1"/>
      <c r="C779" s="1"/>
    </row>
    <row r="780" ht="13.5" customHeight="1">
      <c r="A780" s="1"/>
      <c r="B780" s="1"/>
      <c r="C780" s="1"/>
    </row>
    <row r="781" ht="13.5" customHeight="1">
      <c r="A781" s="1"/>
      <c r="B781" s="1"/>
      <c r="C781" s="1"/>
    </row>
    <row r="782" ht="13.5" customHeight="1">
      <c r="A782" s="1"/>
      <c r="B782" s="1"/>
      <c r="C782" s="1"/>
    </row>
    <row r="783" ht="13.5" customHeight="1">
      <c r="A783" s="1"/>
      <c r="B783" s="1"/>
      <c r="C783" s="1"/>
    </row>
    <row r="784" ht="13.5" customHeight="1">
      <c r="A784" s="1"/>
      <c r="B784" s="1"/>
      <c r="C784" s="1"/>
    </row>
    <row r="785" ht="13.5" customHeight="1">
      <c r="A785" s="1"/>
      <c r="B785" s="1"/>
      <c r="C785" s="1"/>
    </row>
    <row r="786" ht="13.5" customHeight="1">
      <c r="A786" s="1"/>
      <c r="B786" s="1"/>
      <c r="C786" s="1"/>
    </row>
    <row r="787" ht="13.5" customHeight="1">
      <c r="A787" s="1"/>
      <c r="B787" s="1"/>
      <c r="C787" s="1"/>
    </row>
    <row r="788" ht="13.5" customHeight="1">
      <c r="A788" s="1"/>
      <c r="B788" s="1"/>
      <c r="C788" s="1"/>
    </row>
    <row r="789" ht="13.5" customHeight="1">
      <c r="A789" s="1"/>
      <c r="B789" s="1"/>
      <c r="C789" s="1"/>
    </row>
    <row r="790" ht="13.5" customHeight="1">
      <c r="A790" s="1"/>
      <c r="B790" s="1"/>
      <c r="C790" s="1"/>
    </row>
    <row r="791" ht="13.5" customHeight="1">
      <c r="A791" s="1"/>
      <c r="B791" s="1"/>
      <c r="C791" s="1"/>
    </row>
    <row r="792" ht="13.5" customHeight="1">
      <c r="A792" s="1"/>
      <c r="B792" s="1"/>
      <c r="C792" s="1"/>
    </row>
    <row r="793" ht="13.5" customHeight="1">
      <c r="A793" s="1"/>
      <c r="B793" s="1"/>
      <c r="C793" s="1"/>
    </row>
    <row r="794" ht="13.5" customHeight="1">
      <c r="A794" s="1"/>
      <c r="B794" s="1"/>
      <c r="C794" s="1"/>
    </row>
    <row r="795" ht="13.5" customHeight="1">
      <c r="A795" s="1"/>
      <c r="B795" s="1"/>
      <c r="C795" s="1"/>
    </row>
    <row r="796" ht="13.5" customHeight="1">
      <c r="A796" s="1"/>
      <c r="B796" s="1"/>
      <c r="C796" s="1"/>
    </row>
    <row r="797" ht="13.5" customHeight="1">
      <c r="A797" s="1"/>
      <c r="B797" s="1"/>
      <c r="C797" s="1"/>
    </row>
    <row r="798" ht="13.5" customHeight="1">
      <c r="A798" s="1"/>
      <c r="B798" s="1"/>
      <c r="C798" s="1"/>
    </row>
    <row r="799" ht="13.5" customHeight="1">
      <c r="A799" s="1"/>
      <c r="B799" s="1"/>
      <c r="C799" s="1"/>
    </row>
    <row r="800" ht="13.5" customHeight="1">
      <c r="A800" s="1"/>
      <c r="B800" s="1"/>
      <c r="C800" s="1"/>
    </row>
    <row r="801" ht="13.5" customHeight="1">
      <c r="A801" s="1"/>
      <c r="B801" s="1"/>
      <c r="C801" s="1"/>
    </row>
    <row r="802" ht="13.5" customHeight="1">
      <c r="A802" s="1"/>
      <c r="B802" s="1"/>
      <c r="C802" s="1"/>
    </row>
    <row r="803" ht="13.5" customHeight="1">
      <c r="A803" s="1"/>
      <c r="B803" s="1"/>
      <c r="C803" s="1"/>
    </row>
    <row r="804" ht="13.5" customHeight="1">
      <c r="A804" s="1"/>
      <c r="B804" s="1"/>
      <c r="C804" s="1"/>
    </row>
    <row r="805" ht="13.5" customHeight="1">
      <c r="A805" s="1"/>
      <c r="B805" s="1"/>
      <c r="C805" s="1"/>
    </row>
    <row r="806" ht="13.5" customHeight="1">
      <c r="A806" s="1"/>
      <c r="B806" s="1"/>
      <c r="C806" s="1"/>
    </row>
    <row r="807" ht="13.5" customHeight="1">
      <c r="A807" s="1"/>
      <c r="B807" s="1"/>
      <c r="C807" s="1"/>
    </row>
    <row r="808" ht="13.5" customHeight="1">
      <c r="A808" s="1"/>
      <c r="B808" s="1"/>
      <c r="C808" s="1"/>
    </row>
    <row r="809" ht="13.5" customHeight="1">
      <c r="A809" s="1"/>
      <c r="B809" s="1"/>
      <c r="C809" s="1"/>
    </row>
    <row r="810" ht="13.5" customHeight="1">
      <c r="A810" s="1"/>
      <c r="B810" s="1"/>
      <c r="C810" s="1"/>
    </row>
    <row r="811" ht="13.5" customHeight="1">
      <c r="A811" s="1"/>
      <c r="B811" s="1"/>
      <c r="C811" s="1"/>
    </row>
    <row r="812" ht="13.5" customHeight="1">
      <c r="A812" s="1"/>
      <c r="B812" s="1"/>
      <c r="C812" s="1"/>
    </row>
    <row r="813" ht="13.5" customHeight="1">
      <c r="A813" s="1"/>
      <c r="B813" s="1"/>
      <c r="C813" s="1"/>
    </row>
    <row r="814" ht="13.5" customHeight="1">
      <c r="A814" s="1"/>
      <c r="B814" s="1"/>
      <c r="C814" s="1"/>
    </row>
    <row r="815" ht="13.5" customHeight="1">
      <c r="A815" s="1"/>
      <c r="B815" s="1"/>
      <c r="C815" s="1"/>
    </row>
    <row r="816" ht="13.5" customHeight="1">
      <c r="A816" s="1"/>
      <c r="B816" s="1"/>
      <c r="C816" s="1"/>
    </row>
    <row r="817" ht="13.5" customHeight="1">
      <c r="A817" s="1"/>
      <c r="B817" s="1"/>
      <c r="C817" s="1"/>
    </row>
    <row r="818" ht="13.5" customHeight="1">
      <c r="A818" s="1"/>
      <c r="B818" s="1"/>
      <c r="C818" s="1"/>
    </row>
    <row r="819" ht="13.5" customHeight="1">
      <c r="A819" s="1"/>
      <c r="B819" s="1"/>
      <c r="C819" s="1"/>
    </row>
    <row r="820" ht="13.5" customHeight="1">
      <c r="A820" s="1"/>
      <c r="B820" s="1"/>
      <c r="C820" s="1"/>
    </row>
    <row r="821" ht="13.5" customHeight="1">
      <c r="A821" s="1"/>
      <c r="B821" s="1"/>
      <c r="C821" s="1"/>
    </row>
    <row r="822" ht="13.5" customHeight="1">
      <c r="A822" s="1"/>
      <c r="B822" s="1"/>
      <c r="C822" s="1"/>
    </row>
    <row r="823" ht="13.5" customHeight="1">
      <c r="A823" s="1"/>
      <c r="B823" s="1"/>
      <c r="C823" s="1"/>
    </row>
    <row r="824" ht="13.5" customHeight="1">
      <c r="A824" s="1"/>
      <c r="B824" s="1"/>
      <c r="C824" s="1"/>
    </row>
    <row r="825" ht="13.5" customHeight="1">
      <c r="A825" s="1"/>
      <c r="B825" s="1"/>
      <c r="C825" s="1"/>
    </row>
    <row r="826" ht="13.5" customHeight="1">
      <c r="A826" s="1"/>
      <c r="B826" s="1"/>
      <c r="C826" s="1"/>
    </row>
    <row r="827" ht="13.5" customHeight="1">
      <c r="A827" s="1"/>
      <c r="B827" s="1"/>
      <c r="C827" s="1"/>
    </row>
    <row r="828" ht="13.5" customHeight="1">
      <c r="A828" s="1"/>
      <c r="B828" s="1"/>
      <c r="C828" s="1"/>
    </row>
    <row r="829" ht="13.5" customHeight="1">
      <c r="A829" s="1"/>
      <c r="B829" s="1"/>
      <c r="C829" s="1"/>
    </row>
    <row r="830" ht="13.5" customHeight="1">
      <c r="A830" s="1"/>
      <c r="B830" s="1"/>
      <c r="C830" s="1"/>
    </row>
    <row r="831" ht="13.5" customHeight="1">
      <c r="A831" s="1"/>
      <c r="B831" s="1"/>
      <c r="C831" s="1"/>
    </row>
    <row r="832" ht="13.5" customHeight="1">
      <c r="A832" s="1"/>
      <c r="B832" s="1"/>
      <c r="C832" s="1"/>
    </row>
    <row r="833" ht="13.5" customHeight="1">
      <c r="A833" s="1"/>
      <c r="B833" s="1"/>
      <c r="C833" s="1"/>
    </row>
    <row r="834" ht="13.5" customHeight="1">
      <c r="A834" s="1"/>
      <c r="B834" s="1"/>
      <c r="C834" s="1"/>
    </row>
    <row r="835" ht="13.5" customHeight="1">
      <c r="A835" s="1"/>
      <c r="B835" s="1"/>
      <c r="C835" s="1"/>
    </row>
    <row r="836" ht="13.5" customHeight="1">
      <c r="A836" s="1"/>
      <c r="B836" s="1"/>
      <c r="C836" s="1"/>
    </row>
    <row r="837" ht="13.5" customHeight="1">
      <c r="A837" s="1"/>
      <c r="B837" s="1"/>
      <c r="C837" s="1"/>
    </row>
    <row r="838" ht="13.5" customHeight="1">
      <c r="A838" s="1"/>
      <c r="B838" s="1"/>
      <c r="C838" s="1"/>
    </row>
    <row r="839" ht="13.5" customHeight="1">
      <c r="A839" s="1"/>
      <c r="B839" s="1"/>
      <c r="C839" s="1"/>
    </row>
    <row r="840" ht="13.5" customHeight="1">
      <c r="A840" s="1"/>
      <c r="B840" s="1"/>
      <c r="C840" s="1"/>
    </row>
    <row r="841" ht="13.5" customHeight="1">
      <c r="A841" s="1"/>
      <c r="B841" s="1"/>
      <c r="C841" s="1"/>
    </row>
    <row r="842" ht="13.5" customHeight="1">
      <c r="A842" s="1"/>
      <c r="B842" s="1"/>
      <c r="C842" s="1"/>
    </row>
    <row r="843" ht="13.5" customHeight="1">
      <c r="A843" s="1"/>
      <c r="B843" s="1"/>
      <c r="C843" s="1"/>
    </row>
    <row r="844" ht="13.5" customHeight="1">
      <c r="A844" s="1"/>
      <c r="B844" s="1"/>
      <c r="C844" s="1"/>
    </row>
    <row r="845" ht="13.5" customHeight="1">
      <c r="A845" s="1"/>
      <c r="B845" s="1"/>
      <c r="C845" s="1"/>
    </row>
    <row r="846" ht="13.5" customHeight="1">
      <c r="A846" s="1"/>
      <c r="B846" s="1"/>
      <c r="C846" s="1"/>
    </row>
    <row r="847" ht="13.5" customHeight="1">
      <c r="A847" s="1"/>
      <c r="B847" s="1"/>
      <c r="C847" s="1"/>
    </row>
    <row r="848" ht="13.5" customHeight="1">
      <c r="A848" s="1"/>
      <c r="B848" s="1"/>
      <c r="C848" s="1"/>
    </row>
    <row r="849" ht="13.5" customHeight="1">
      <c r="A849" s="1"/>
      <c r="B849" s="1"/>
      <c r="C849" s="1"/>
    </row>
    <row r="850" ht="13.5" customHeight="1">
      <c r="A850" s="1"/>
      <c r="B850" s="1"/>
      <c r="C850" s="1"/>
    </row>
    <row r="851" ht="13.5" customHeight="1">
      <c r="A851" s="1"/>
      <c r="B851" s="1"/>
      <c r="C851" s="1"/>
    </row>
    <row r="852" ht="13.5" customHeight="1">
      <c r="A852" s="1"/>
      <c r="B852" s="1"/>
      <c r="C852" s="1"/>
    </row>
    <row r="853" ht="13.5" customHeight="1">
      <c r="A853" s="1"/>
      <c r="B853" s="1"/>
      <c r="C853" s="1"/>
    </row>
    <row r="854" ht="13.5" customHeight="1">
      <c r="A854" s="1"/>
      <c r="B854" s="1"/>
      <c r="C854" s="1"/>
    </row>
    <row r="855" ht="13.5" customHeight="1">
      <c r="A855" s="1"/>
      <c r="B855" s="1"/>
      <c r="C855" s="1"/>
    </row>
    <row r="856" ht="13.5" customHeight="1">
      <c r="A856" s="1"/>
      <c r="B856" s="1"/>
      <c r="C856" s="1"/>
    </row>
    <row r="857" ht="13.5" customHeight="1">
      <c r="A857" s="1"/>
      <c r="B857" s="1"/>
      <c r="C857" s="1"/>
    </row>
    <row r="858" ht="13.5" customHeight="1">
      <c r="A858" s="1"/>
      <c r="B858" s="1"/>
      <c r="C858" s="1"/>
    </row>
    <row r="859" ht="13.5" customHeight="1">
      <c r="A859" s="1"/>
      <c r="B859" s="1"/>
      <c r="C859" s="1"/>
    </row>
    <row r="860" ht="13.5" customHeight="1">
      <c r="A860" s="1"/>
      <c r="B860" s="1"/>
      <c r="C860" s="1"/>
    </row>
    <row r="861" ht="13.5" customHeight="1">
      <c r="A861" s="1"/>
      <c r="B861" s="1"/>
      <c r="C861" s="1"/>
    </row>
    <row r="862" ht="13.5" customHeight="1">
      <c r="A862" s="1"/>
      <c r="B862" s="1"/>
      <c r="C862" s="1"/>
    </row>
    <row r="863" ht="13.5" customHeight="1">
      <c r="A863" s="1"/>
      <c r="B863" s="1"/>
      <c r="C863" s="1"/>
    </row>
    <row r="864" ht="13.5" customHeight="1">
      <c r="A864" s="1"/>
      <c r="B864" s="1"/>
      <c r="C864" s="1"/>
    </row>
    <row r="865" ht="13.5" customHeight="1">
      <c r="A865" s="1"/>
      <c r="B865" s="1"/>
      <c r="C865" s="1"/>
    </row>
    <row r="866" ht="13.5" customHeight="1">
      <c r="A866" s="1"/>
      <c r="B866" s="1"/>
      <c r="C866" s="1"/>
    </row>
    <row r="867" ht="13.5" customHeight="1">
      <c r="A867" s="1"/>
      <c r="B867" s="1"/>
      <c r="C867" s="1"/>
    </row>
    <row r="868" ht="13.5" customHeight="1">
      <c r="A868" s="1"/>
      <c r="B868" s="1"/>
      <c r="C868" s="1"/>
    </row>
    <row r="869" ht="13.5" customHeight="1">
      <c r="A869" s="1"/>
      <c r="B869" s="1"/>
      <c r="C869" s="1"/>
    </row>
    <row r="870" ht="13.5" customHeight="1">
      <c r="A870" s="1"/>
      <c r="B870" s="1"/>
      <c r="C870" s="1"/>
    </row>
    <row r="871" ht="13.5" customHeight="1">
      <c r="A871" s="1"/>
      <c r="B871" s="1"/>
      <c r="C871" s="1"/>
    </row>
    <row r="872" ht="13.5" customHeight="1">
      <c r="A872" s="1"/>
      <c r="B872" s="1"/>
      <c r="C872" s="1"/>
    </row>
    <row r="873" ht="13.5" customHeight="1">
      <c r="A873" s="1"/>
      <c r="B873" s="1"/>
      <c r="C873" s="1"/>
    </row>
    <row r="874" ht="13.5" customHeight="1">
      <c r="A874" s="1"/>
      <c r="B874" s="1"/>
      <c r="C874" s="1"/>
    </row>
    <row r="875" ht="13.5" customHeight="1">
      <c r="A875" s="1"/>
      <c r="B875" s="1"/>
      <c r="C875" s="1"/>
    </row>
    <row r="876" ht="13.5" customHeight="1">
      <c r="A876" s="1"/>
      <c r="B876" s="1"/>
      <c r="C876" s="1"/>
    </row>
    <row r="877" ht="13.5" customHeight="1">
      <c r="A877" s="1"/>
      <c r="B877" s="1"/>
      <c r="C877" s="1"/>
    </row>
    <row r="878" ht="13.5" customHeight="1">
      <c r="A878" s="1"/>
      <c r="B878" s="1"/>
      <c r="C878" s="1"/>
    </row>
    <row r="879" ht="13.5" customHeight="1">
      <c r="A879" s="1"/>
      <c r="B879" s="1"/>
      <c r="C879" s="1"/>
    </row>
    <row r="880" ht="13.5" customHeight="1">
      <c r="A880" s="1"/>
      <c r="B880" s="1"/>
      <c r="C880" s="1"/>
    </row>
    <row r="881" ht="13.5" customHeight="1">
      <c r="A881" s="1"/>
      <c r="B881" s="1"/>
      <c r="C881" s="1"/>
    </row>
    <row r="882" ht="13.5" customHeight="1">
      <c r="A882" s="1"/>
      <c r="B882" s="1"/>
      <c r="C882" s="1"/>
    </row>
    <row r="883" ht="13.5" customHeight="1">
      <c r="A883" s="1"/>
      <c r="B883" s="1"/>
      <c r="C883" s="1"/>
    </row>
    <row r="884" ht="13.5" customHeight="1">
      <c r="A884" s="1"/>
      <c r="B884" s="1"/>
      <c r="C884" s="1"/>
    </row>
    <row r="885" ht="13.5" customHeight="1">
      <c r="A885" s="1"/>
      <c r="B885" s="1"/>
      <c r="C885" s="1"/>
    </row>
    <row r="886" ht="13.5" customHeight="1">
      <c r="A886" s="1"/>
      <c r="B886" s="1"/>
      <c r="C886" s="1"/>
    </row>
    <row r="887" ht="13.5" customHeight="1">
      <c r="A887" s="1"/>
      <c r="B887" s="1"/>
      <c r="C887" s="1"/>
    </row>
    <row r="888" ht="13.5" customHeight="1">
      <c r="A888" s="1"/>
      <c r="B888" s="1"/>
      <c r="C888" s="1"/>
    </row>
    <row r="889" ht="13.5" customHeight="1">
      <c r="A889" s="1"/>
      <c r="B889" s="1"/>
      <c r="C889" s="1"/>
    </row>
    <row r="890" ht="13.5" customHeight="1">
      <c r="A890" s="1"/>
      <c r="B890" s="1"/>
      <c r="C890" s="1"/>
    </row>
    <row r="891" ht="13.5" customHeight="1">
      <c r="A891" s="1"/>
      <c r="B891" s="1"/>
      <c r="C891" s="1"/>
    </row>
    <row r="892" ht="13.5" customHeight="1">
      <c r="A892" s="1"/>
      <c r="B892" s="1"/>
      <c r="C892" s="1"/>
    </row>
    <row r="893" ht="13.5" customHeight="1">
      <c r="A893" s="1"/>
      <c r="B893" s="1"/>
      <c r="C893" s="1"/>
    </row>
    <row r="894" ht="13.5" customHeight="1">
      <c r="A894" s="1"/>
      <c r="B894" s="1"/>
      <c r="C894" s="1"/>
    </row>
    <row r="895" ht="13.5" customHeight="1">
      <c r="A895" s="1"/>
      <c r="B895" s="1"/>
      <c r="C895" s="1"/>
    </row>
    <row r="896" ht="13.5" customHeight="1">
      <c r="A896" s="1"/>
      <c r="B896" s="1"/>
      <c r="C896" s="1"/>
    </row>
    <row r="897" ht="13.5" customHeight="1">
      <c r="A897" s="1"/>
      <c r="B897" s="1"/>
      <c r="C897" s="1"/>
    </row>
    <row r="898" ht="13.5" customHeight="1">
      <c r="A898" s="1"/>
      <c r="B898" s="1"/>
      <c r="C898" s="1"/>
    </row>
    <row r="899" ht="13.5" customHeight="1">
      <c r="A899" s="1"/>
      <c r="B899" s="1"/>
      <c r="C899" s="1"/>
    </row>
    <row r="900" ht="13.5" customHeight="1">
      <c r="A900" s="1"/>
      <c r="B900" s="1"/>
      <c r="C900" s="1"/>
    </row>
    <row r="901" ht="13.5" customHeight="1">
      <c r="A901" s="1"/>
      <c r="B901" s="1"/>
      <c r="C901" s="1"/>
    </row>
    <row r="902" ht="13.5" customHeight="1">
      <c r="A902" s="1"/>
      <c r="B902" s="1"/>
      <c r="C902" s="1"/>
    </row>
    <row r="903" ht="13.5" customHeight="1">
      <c r="A903" s="1"/>
      <c r="B903" s="1"/>
      <c r="C903" s="1"/>
    </row>
    <row r="904" ht="13.5" customHeight="1">
      <c r="A904" s="1"/>
      <c r="B904" s="1"/>
      <c r="C904" s="1"/>
    </row>
    <row r="905" ht="13.5" customHeight="1">
      <c r="A905" s="1"/>
      <c r="B905" s="1"/>
      <c r="C905" s="1"/>
    </row>
    <row r="906" ht="13.5" customHeight="1">
      <c r="A906" s="1"/>
      <c r="B906" s="1"/>
      <c r="C906" s="1"/>
    </row>
    <row r="907" ht="13.5" customHeight="1">
      <c r="A907" s="1"/>
      <c r="B907" s="1"/>
      <c r="C907" s="1"/>
    </row>
    <row r="908" ht="13.5" customHeight="1">
      <c r="A908" s="1"/>
      <c r="B908" s="1"/>
      <c r="C908" s="1"/>
    </row>
    <row r="909" ht="13.5" customHeight="1">
      <c r="A909" s="1"/>
      <c r="B909" s="1"/>
      <c r="C909" s="1"/>
    </row>
    <row r="910" ht="13.5" customHeight="1">
      <c r="A910" s="1"/>
      <c r="B910" s="1"/>
      <c r="C910" s="1"/>
    </row>
    <row r="911" ht="13.5" customHeight="1">
      <c r="A911" s="1"/>
      <c r="B911" s="1"/>
      <c r="C911" s="1"/>
    </row>
    <row r="912" ht="13.5" customHeight="1">
      <c r="A912" s="1"/>
      <c r="B912" s="1"/>
      <c r="C912" s="1"/>
    </row>
    <row r="913" ht="13.5" customHeight="1">
      <c r="A913" s="1"/>
      <c r="B913" s="1"/>
      <c r="C913" s="1"/>
    </row>
    <row r="914" ht="13.5" customHeight="1">
      <c r="A914" s="1"/>
      <c r="B914" s="1"/>
      <c r="C914" s="1"/>
    </row>
    <row r="915" ht="13.5" customHeight="1">
      <c r="A915" s="1"/>
      <c r="B915" s="1"/>
      <c r="C915" s="1"/>
    </row>
    <row r="916" ht="13.5" customHeight="1">
      <c r="A916" s="1"/>
      <c r="B916" s="1"/>
      <c r="C916" s="1"/>
    </row>
    <row r="917" ht="13.5" customHeight="1">
      <c r="A917" s="1"/>
      <c r="B917" s="1"/>
      <c r="C917" s="1"/>
    </row>
    <row r="918" ht="13.5" customHeight="1">
      <c r="A918" s="1"/>
      <c r="B918" s="1"/>
      <c r="C918" s="1"/>
    </row>
    <row r="919" ht="13.5" customHeight="1">
      <c r="A919" s="1"/>
      <c r="B919" s="1"/>
      <c r="C919" s="1"/>
    </row>
    <row r="920" ht="13.5" customHeight="1">
      <c r="A920" s="1"/>
      <c r="B920" s="1"/>
      <c r="C920" s="1"/>
    </row>
    <row r="921" ht="13.5" customHeight="1">
      <c r="A921" s="1"/>
      <c r="B921" s="1"/>
      <c r="C921" s="1"/>
    </row>
    <row r="922" ht="13.5" customHeight="1">
      <c r="A922" s="1"/>
      <c r="B922" s="1"/>
      <c r="C922" s="1"/>
    </row>
    <row r="923" ht="13.5" customHeight="1">
      <c r="A923" s="1"/>
      <c r="B923" s="1"/>
      <c r="C923" s="1"/>
    </row>
    <row r="924" ht="13.5" customHeight="1">
      <c r="A924" s="1"/>
      <c r="B924" s="1"/>
      <c r="C924" s="1"/>
    </row>
    <row r="925" ht="13.5" customHeight="1">
      <c r="A925" s="1"/>
      <c r="B925" s="1"/>
      <c r="C925" s="1"/>
    </row>
    <row r="926" ht="13.5" customHeight="1">
      <c r="A926" s="1"/>
      <c r="B926" s="1"/>
      <c r="C926" s="1"/>
    </row>
    <row r="927" ht="13.5" customHeight="1">
      <c r="A927" s="1"/>
      <c r="B927" s="1"/>
      <c r="C927" s="1"/>
    </row>
    <row r="928" ht="13.5" customHeight="1">
      <c r="A928" s="1"/>
      <c r="B928" s="1"/>
      <c r="C928" s="1"/>
    </row>
    <row r="929" ht="13.5" customHeight="1">
      <c r="A929" s="1"/>
      <c r="B929" s="1"/>
      <c r="C929" s="1"/>
    </row>
    <row r="930" ht="13.5" customHeight="1">
      <c r="A930" s="1"/>
      <c r="B930" s="1"/>
      <c r="C930" s="1"/>
    </row>
    <row r="931" ht="13.5" customHeight="1">
      <c r="A931" s="1"/>
      <c r="B931" s="1"/>
      <c r="C931" s="1"/>
    </row>
    <row r="932" ht="13.5" customHeight="1">
      <c r="A932" s="1"/>
      <c r="B932" s="1"/>
      <c r="C932" s="1"/>
    </row>
    <row r="933" ht="13.5" customHeight="1">
      <c r="A933" s="1"/>
      <c r="B933" s="1"/>
      <c r="C933" s="1"/>
    </row>
    <row r="934" ht="13.5" customHeight="1">
      <c r="A934" s="1"/>
      <c r="B934" s="1"/>
      <c r="C934" s="1"/>
    </row>
    <row r="935" ht="13.5" customHeight="1">
      <c r="A935" s="1"/>
      <c r="B935" s="1"/>
      <c r="C935" s="1"/>
    </row>
    <row r="936" ht="13.5" customHeight="1">
      <c r="A936" s="1"/>
      <c r="B936" s="1"/>
      <c r="C936" s="1"/>
    </row>
    <row r="937" ht="13.5" customHeight="1">
      <c r="A937" s="1"/>
      <c r="B937" s="1"/>
      <c r="C937" s="1"/>
    </row>
    <row r="938" ht="13.5" customHeight="1">
      <c r="A938" s="1"/>
      <c r="B938" s="1"/>
      <c r="C938" s="1"/>
    </row>
    <row r="939" ht="13.5" customHeight="1">
      <c r="A939" s="1"/>
      <c r="B939" s="1"/>
      <c r="C939" s="1"/>
    </row>
    <row r="940" ht="13.5" customHeight="1">
      <c r="A940" s="1"/>
      <c r="B940" s="1"/>
      <c r="C940" s="1"/>
    </row>
    <row r="941" ht="13.5" customHeight="1">
      <c r="A941" s="1"/>
      <c r="B941" s="1"/>
      <c r="C941" s="1"/>
    </row>
    <row r="942" ht="13.5" customHeight="1">
      <c r="A942" s="1"/>
      <c r="B942" s="1"/>
      <c r="C942" s="1"/>
    </row>
    <row r="943" ht="13.5" customHeight="1">
      <c r="A943" s="1"/>
      <c r="B943" s="1"/>
      <c r="C943" s="1"/>
    </row>
    <row r="944" ht="13.5" customHeight="1">
      <c r="A944" s="1"/>
      <c r="B944" s="1"/>
      <c r="C944" s="1"/>
    </row>
    <row r="945" ht="13.5" customHeight="1">
      <c r="A945" s="1"/>
      <c r="B945" s="1"/>
      <c r="C945" s="1"/>
    </row>
    <row r="946" ht="13.5" customHeight="1">
      <c r="A946" s="1"/>
      <c r="B946" s="1"/>
      <c r="C946" s="1"/>
    </row>
    <row r="947" ht="13.5" customHeight="1">
      <c r="A947" s="1"/>
      <c r="B947" s="1"/>
      <c r="C947" s="1"/>
    </row>
    <row r="948" ht="13.5" customHeight="1">
      <c r="A948" s="1"/>
      <c r="B948" s="1"/>
      <c r="C948" s="1"/>
    </row>
    <row r="949" ht="13.5" customHeight="1">
      <c r="A949" s="1"/>
      <c r="B949" s="1"/>
      <c r="C949" s="1"/>
    </row>
    <row r="950" ht="13.5" customHeight="1">
      <c r="A950" s="1"/>
      <c r="B950" s="1"/>
      <c r="C950" s="1"/>
    </row>
    <row r="951" ht="13.5" customHeight="1">
      <c r="A951" s="1"/>
      <c r="B951" s="1"/>
      <c r="C951" s="1"/>
    </row>
    <row r="952" ht="13.5" customHeight="1">
      <c r="A952" s="1"/>
      <c r="B952" s="1"/>
      <c r="C952" s="1"/>
    </row>
    <row r="953" ht="13.5" customHeight="1">
      <c r="A953" s="1"/>
      <c r="B953" s="1"/>
      <c r="C953" s="1"/>
    </row>
    <row r="954" ht="13.5" customHeight="1">
      <c r="A954" s="1"/>
      <c r="B954" s="1"/>
      <c r="C954" s="1"/>
    </row>
    <row r="955" ht="13.5" customHeight="1">
      <c r="A955" s="1"/>
      <c r="B955" s="1"/>
      <c r="C955" s="1"/>
    </row>
    <row r="956" ht="13.5" customHeight="1">
      <c r="A956" s="1"/>
      <c r="B956" s="1"/>
      <c r="C956" s="1"/>
    </row>
    <row r="957" ht="13.5" customHeight="1">
      <c r="A957" s="1"/>
      <c r="B957" s="1"/>
      <c r="C957" s="1"/>
    </row>
    <row r="958" ht="13.5" customHeight="1">
      <c r="A958" s="1"/>
      <c r="B958" s="1"/>
      <c r="C958" s="1"/>
    </row>
    <row r="959" ht="13.5" customHeight="1">
      <c r="A959" s="1"/>
      <c r="B959" s="1"/>
      <c r="C959" s="1"/>
    </row>
    <row r="960" ht="13.5" customHeight="1">
      <c r="A960" s="1"/>
      <c r="B960" s="1"/>
      <c r="C960" s="1"/>
    </row>
    <row r="961" ht="13.5" customHeight="1">
      <c r="A961" s="1"/>
      <c r="B961" s="1"/>
      <c r="C961" s="1"/>
    </row>
    <row r="962" ht="13.5" customHeight="1">
      <c r="A962" s="1"/>
      <c r="B962" s="1"/>
      <c r="C962" s="1"/>
    </row>
    <row r="963" ht="13.5" customHeight="1">
      <c r="A963" s="1"/>
      <c r="B963" s="1"/>
      <c r="C963" s="1"/>
    </row>
    <row r="964" ht="13.5" customHeight="1">
      <c r="A964" s="1"/>
      <c r="B964" s="1"/>
      <c r="C964" s="1"/>
    </row>
    <row r="965" ht="13.5" customHeight="1">
      <c r="A965" s="1"/>
      <c r="B965" s="1"/>
      <c r="C965" s="1"/>
    </row>
    <row r="966" ht="13.5" customHeight="1">
      <c r="A966" s="1"/>
      <c r="B966" s="1"/>
      <c r="C966" s="1"/>
    </row>
    <row r="967" ht="13.5" customHeight="1">
      <c r="A967" s="1"/>
      <c r="B967" s="1"/>
      <c r="C967" s="1"/>
    </row>
    <row r="968" ht="13.5" customHeight="1">
      <c r="A968" s="1"/>
      <c r="B968" s="1"/>
      <c r="C968" s="1"/>
    </row>
    <row r="969" ht="13.5" customHeight="1">
      <c r="A969" s="1"/>
      <c r="B969" s="1"/>
      <c r="C969" s="1"/>
    </row>
    <row r="970" ht="13.5" customHeight="1">
      <c r="A970" s="1"/>
      <c r="B970" s="1"/>
      <c r="C970" s="1"/>
    </row>
    <row r="971" ht="13.5" customHeight="1">
      <c r="A971" s="1"/>
      <c r="B971" s="1"/>
      <c r="C971" s="1"/>
    </row>
    <row r="972" ht="13.5" customHeight="1">
      <c r="A972" s="1"/>
      <c r="B972" s="1"/>
      <c r="C972" s="1"/>
    </row>
    <row r="973" ht="13.5" customHeight="1">
      <c r="A973" s="1"/>
      <c r="B973" s="1"/>
      <c r="C973" s="1"/>
    </row>
    <row r="974" ht="13.5" customHeight="1">
      <c r="A974" s="1"/>
      <c r="B974" s="1"/>
      <c r="C974" s="1"/>
    </row>
    <row r="975" ht="13.5" customHeight="1">
      <c r="A975" s="1"/>
      <c r="B975" s="1"/>
      <c r="C975" s="1"/>
    </row>
    <row r="976" ht="13.5" customHeight="1">
      <c r="A976" s="1"/>
      <c r="B976" s="1"/>
      <c r="C976" s="1"/>
    </row>
    <row r="977" ht="13.5" customHeight="1">
      <c r="A977" s="1"/>
      <c r="B977" s="1"/>
      <c r="C977" s="1"/>
    </row>
    <row r="978" ht="13.5" customHeight="1">
      <c r="A978" s="1"/>
      <c r="B978" s="1"/>
      <c r="C978" s="1"/>
    </row>
    <row r="979" ht="13.5" customHeight="1">
      <c r="A979" s="1"/>
      <c r="B979" s="1"/>
      <c r="C979" s="1"/>
    </row>
    <row r="980" ht="13.5" customHeight="1">
      <c r="A980" s="1"/>
      <c r="B980" s="1"/>
      <c r="C980" s="1"/>
    </row>
    <row r="981" ht="13.5" customHeight="1">
      <c r="A981" s="1"/>
      <c r="B981" s="1"/>
      <c r="C981" s="1"/>
    </row>
    <row r="982" ht="13.5" customHeight="1">
      <c r="A982" s="1"/>
      <c r="B982" s="1"/>
      <c r="C982" s="1"/>
    </row>
    <row r="983" ht="13.5" customHeight="1">
      <c r="A983" s="1"/>
      <c r="B983" s="1"/>
      <c r="C983" s="1"/>
    </row>
    <row r="984" ht="13.5" customHeight="1">
      <c r="A984" s="1"/>
      <c r="B984" s="1"/>
      <c r="C984" s="1"/>
    </row>
    <row r="985" ht="13.5" customHeight="1">
      <c r="A985" s="1"/>
      <c r="B985" s="1"/>
      <c r="C985" s="1"/>
    </row>
    <row r="986" ht="13.5" customHeight="1">
      <c r="A986" s="1"/>
      <c r="B986" s="1"/>
      <c r="C986" s="1"/>
    </row>
    <row r="987" ht="13.5" customHeight="1">
      <c r="A987" s="1"/>
      <c r="B987" s="1"/>
      <c r="C987" s="1"/>
    </row>
    <row r="988" ht="13.5" customHeight="1">
      <c r="A988" s="1"/>
      <c r="B988" s="1"/>
      <c r="C988" s="1"/>
    </row>
    <row r="989" ht="13.5" customHeight="1">
      <c r="A989" s="1"/>
      <c r="B989" s="1"/>
      <c r="C989" s="1"/>
    </row>
    <row r="990" ht="13.5" customHeight="1">
      <c r="A990" s="1"/>
      <c r="B990" s="1"/>
      <c r="C990" s="1"/>
    </row>
    <row r="991" ht="13.5" customHeight="1">
      <c r="A991" s="1"/>
      <c r="B991" s="1"/>
      <c r="C991" s="1"/>
    </row>
    <row r="992" ht="13.5" customHeight="1">
      <c r="A992" s="1"/>
      <c r="B992" s="1"/>
      <c r="C992" s="1"/>
    </row>
    <row r="993" ht="13.5" customHeight="1">
      <c r="A993" s="1"/>
      <c r="B993" s="1"/>
      <c r="C993" s="1"/>
    </row>
    <row r="994" ht="13.5" customHeight="1">
      <c r="A994" s="1"/>
      <c r="B994" s="1"/>
      <c r="C994" s="1"/>
    </row>
    <row r="995" ht="13.5" customHeight="1">
      <c r="A995" s="1"/>
      <c r="B995" s="1"/>
      <c r="C995" s="1"/>
    </row>
    <row r="996" ht="13.5" customHeight="1">
      <c r="A996" s="1"/>
      <c r="B996" s="1"/>
      <c r="C996" s="1"/>
    </row>
    <row r="997" ht="13.5" customHeight="1">
      <c r="A997" s="1"/>
      <c r="B997" s="1"/>
      <c r="C997" s="1"/>
    </row>
    <row r="998" ht="13.5" customHeight="1">
      <c r="A998" s="1"/>
      <c r="B998" s="1"/>
      <c r="C998" s="1"/>
    </row>
    <row r="999" ht="13.5" customHeight="1">
      <c r="A999" s="1"/>
      <c r="B999" s="1"/>
      <c r="C999" s="1"/>
    </row>
    <row r="1000" ht="13.5" customHeight="1">
      <c r="A1000" s="1"/>
      <c r="B1000" s="1"/>
      <c r="C1000" s="1"/>
    </row>
  </sheetData>
  <mergeCells count="5">
    <mergeCell ref="B2:C2"/>
    <mergeCell ref="C6:I6"/>
    <mergeCell ref="B22:D22"/>
    <mergeCell ref="D24:I24"/>
    <mergeCell ref="D30:I3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5.71"/>
    <col customWidth="1" min="3" max="3" width="24.71"/>
    <col customWidth="1" min="4" max="4" width="12.71"/>
    <col customWidth="1" min="5" max="5" width="37.0"/>
    <col customWidth="1" min="6" max="6" width="20.29"/>
    <col customWidth="1" min="7" max="7" width="19.14"/>
    <col customWidth="1" min="8" max="8" width="18.29"/>
    <col customWidth="1" min="9" max="9" width="19.0"/>
    <col customWidth="1" min="10" max="26" width="12.71"/>
  </cols>
  <sheetData>
    <row r="1" ht="13.5" customHeight="1">
      <c r="A1" s="35"/>
      <c r="B1" s="35"/>
      <c r="C1" s="1"/>
      <c r="D1" s="35"/>
      <c r="E1" s="35"/>
      <c r="F1" s="35"/>
      <c r="G1" s="36"/>
      <c r="H1" s="37"/>
      <c r="I1" s="35"/>
      <c r="J1" s="35"/>
    </row>
    <row r="2" ht="13.5" customHeight="1">
      <c r="A2" s="4" t="s">
        <v>105</v>
      </c>
      <c r="B2" s="4" t="s">
        <v>58</v>
      </c>
      <c r="C2" s="4" t="s">
        <v>106</v>
      </c>
      <c r="D2" s="4" t="s">
        <v>107</v>
      </c>
      <c r="E2" s="4" t="s">
        <v>98</v>
      </c>
      <c r="F2" s="4" t="s">
        <v>108</v>
      </c>
      <c r="G2" s="38" t="s">
        <v>100</v>
      </c>
      <c r="H2" s="39" t="s">
        <v>102</v>
      </c>
      <c r="I2" s="4" t="s">
        <v>69</v>
      </c>
      <c r="J2" s="40"/>
    </row>
    <row r="3" ht="13.5" customHeight="1">
      <c r="A3" s="1" t="s">
        <v>109</v>
      </c>
      <c r="B3" s="1" t="s">
        <v>74</v>
      </c>
      <c r="C3" s="41" t="str">
        <f t="shared" ref="C3:C502" si="1">IF(D3&gt;=500000,"Большой",IF(D3&gt;=100000,"Средний","Маленький"))</f>
        <v>Большой</v>
      </c>
      <c r="D3" s="42">
        <f>VLOOKUP(A3,'Задание 2 (Известные данные)'!$A$2:$D$501,2,FALSE)</f>
        <v>3456789</v>
      </c>
      <c r="E3" s="43">
        <f>ROUND(D3*VLOOKUP(B3,'Задание 2 (Справочник)'!$B$8:$D$12,2,FALSE)/(1-VLOOKUP(B3,'Задание 2 (Справочник)'!$B$8:$D$12,3,FALSE)),0)</f>
        <v>3950616</v>
      </c>
      <c r="F3" s="43">
        <f>VLOOKUP(A3,'Задание 2 (Известные данные)'!$A$2:$D$501,3,FALSE)</f>
        <v>2281481</v>
      </c>
      <c r="G3" s="37">
        <f>F3*VLOOKUP(A3,'Задание 2 (Известные данные)'!$A$2:$D$501,4,FALSE)/1000</f>
        <v>355911.036</v>
      </c>
      <c r="H3" s="43">
        <f>ROUND(E3*VLOOKUP(C3,'Задание 2 (Справочник)'!$B$16:$C$18,2,FALSE),0)</f>
        <v>19753</v>
      </c>
      <c r="I3" s="43">
        <f t="shared" ref="I3:I502" si="2">ROUND(G3*0.5+H3*0.01,2)</f>
        <v>178153.05</v>
      </c>
    </row>
    <row r="4" ht="13.5" customHeight="1">
      <c r="A4" s="1" t="s">
        <v>110</v>
      </c>
      <c r="B4" s="1" t="s">
        <v>74</v>
      </c>
      <c r="C4" s="41" t="str">
        <f t="shared" si="1"/>
        <v>Большой</v>
      </c>
      <c r="D4" s="42">
        <f>VLOOKUP(A4,'Задание 2 (Известные данные)'!$A$2:$D$501,2,FALSE)</f>
        <v>2876543</v>
      </c>
      <c r="E4" s="43">
        <f>ROUND(D4*VLOOKUP(B4,'Задание 2 (Справочник)'!$B$8:$D$12,2,FALSE)/(1-VLOOKUP(B4,'Задание 2 (Справочник)'!$B$8:$D$12,3,FALSE)),0)</f>
        <v>3287478</v>
      </c>
      <c r="F4" s="43">
        <f>VLOOKUP(A4,'Задание 2 (Известные данные)'!$A$2:$D$501,3,FALSE)</f>
        <v>1898518</v>
      </c>
      <c r="G4" s="37">
        <f>F4*VLOOKUP(A4,'Задание 2 (Известные данные)'!$A$2:$D$501,4,FALSE)/1000</f>
        <v>254401.412</v>
      </c>
      <c r="H4" s="43">
        <f>ROUND(E4*VLOOKUP(C4,'Задание 2 (Справочник)'!$B$16:$C$18,2,FALSE),0)</f>
        <v>16437</v>
      </c>
      <c r="I4" s="43">
        <f t="shared" si="2"/>
        <v>127365.08</v>
      </c>
    </row>
    <row r="5" ht="13.5" customHeight="1">
      <c r="A5" s="1" t="s">
        <v>111</v>
      </c>
      <c r="B5" s="1" t="s">
        <v>74</v>
      </c>
      <c r="C5" s="41" t="str">
        <f t="shared" si="1"/>
        <v>Большой</v>
      </c>
      <c r="D5" s="42">
        <f>VLOOKUP(A5,'Задание 2 (Известные данные)'!$A$2:$D$501,2,FALSE)</f>
        <v>4123987</v>
      </c>
      <c r="E5" s="43">
        <f>ROUND(D5*VLOOKUP(B5,'Задание 2 (Справочник)'!$B$8:$D$12,2,FALSE)/(1-VLOOKUP(B5,'Задание 2 (Справочник)'!$B$8:$D$12,3,FALSE)),0)</f>
        <v>4713128</v>
      </c>
      <c r="F5" s="43">
        <f>VLOOKUP(A5,'Задание 2 (Известные данные)'!$A$2:$D$501,3,FALSE)</f>
        <v>2721832</v>
      </c>
      <c r="G5" s="37">
        <f>F5*VLOOKUP(A5,'Задание 2 (Известные данные)'!$A$2:$D$501,4,FALSE)/1000</f>
        <v>484486.096</v>
      </c>
      <c r="H5" s="43">
        <f>ROUND(E5*VLOOKUP(C5,'Задание 2 (Справочник)'!$B$16:$C$18,2,FALSE),0)</f>
        <v>23566</v>
      </c>
      <c r="I5" s="43">
        <f t="shared" si="2"/>
        <v>242478.71</v>
      </c>
    </row>
    <row r="6" ht="13.5" customHeight="1">
      <c r="A6" s="1" t="s">
        <v>112</v>
      </c>
      <c r="B6" s="1" t="s">
        <v>74</v>
      </c>
      <c r="C6" s="41" t="str">
        <f t="shared" si="1"/>
        <v>Большой</v>
      </c>
      <c r="D6" s="42">
        <f>VLOOKUP(A6,'Задание 2 (Известные данные)'!$A$2:$D$501,2,FALSE)</f>
        <v>1987654</v>
      </c>
      <c r="E6" s="43">
        <f>ROUND(D6*VLOOKUP(B6,'Задание 2 (Справочник)'!$B$8:$D$12,2,FALSE)/(1-VLOOKUP(B6,'Задание 2 (Справочник)'!$B$8:$D$12,3,FALSE)),0)</f>
        <v>2271605</v>
      </c>
      <c r="F6" s="43">
        <f>VLOOKUP(A6,'Задание 2 (Известные данные)'!$A$2:$D$501,3,FALSE)</f>
        <v>1311851</v>
      </c>
      <c r="G6" s="37">
        <f>F6*VLOOKUP(A6,'Задание 2 (Известные данные)'!$A$2:$D$501,4,FALSE)/1000</f>
        <v>146927.312</v>
      </c>
      <c r="H6" s="43">
        <f>ROUND(E6*VLOOKUP(C6,'Задание 2 (Справочник)'!$B$16:$C$18,2,FALSE),0)</f>
        <v>11358</v>
      </c>
      <c r="I6" s="43">
        <f t="shared" si="2"/>
        <v>73577.24</v>
      </c>
    </row>
    <row r="7" ht="13.5" customHeight="1">
      <c r="A7" s="1" t="s">
        <v>113</v>
      </c>
      <c r="B7" s="1" t="s">
        <v>74</v>
      </c>
      <c r="C7" s="41" t="str">
        <f t="shared" si="1"/>
        <v>Большой</v>
      </c>
      <c r="D7" s="42">
        <f>VLOOKUP(A7,'Задание 2 (Известные данные)'!$A$2:$D$501,2,FALSE)</f>
        <v>5234012</v>
      </c>
      <c r="E7" s="43">
        <f>ROUND(D7*VLOOKUP(B7,'Задание 2 (Справочник)'!$B$8:$D$12,2,FALSE)/(1-VLOOKUP(B7,'Задание 2 (Справочник)'!$B$8:$D$12,3,FALSE)),0)</f>
        <v>5981728</v>
      </c>
      <c r="F7" s="43">
        <f>VLOOKUP(A7,'Задание 2 (Известные данные)'!$A$2:$D$501,3,FALSE)</f>
        <v>3454448</v>
      </c>
      <c r="G7" s="37">
        <f>F7*VLOOKUP(A7,'Задание 2 (Известные данные)'!$A$2:$D$501,4,FALSE)/1000</f>
        <v>652890.672</v>
      </c>
      <c r="H7" s="43">
        <f>ROUND(E7*VLOOKUP(C7,'Задание 2 (Справочник)'!$B$16:$C$18,2,FALSE),0)</f>
        <v>29909</v>
      </c>
      <c r="I7" s="43">
        <f t="shared" si="2"/>
        <v>326744.43</v>
      </c>
    </row>
    <row r="8" ht="13.5" customHeight="1">
      <c r="A8" s="1" t="s">
        <v>114</v>
      </c>
      <c r="B8" s="1" t="s">
        <v>74</v>
      </c>
      <c r="C8" s="41" t="str">
        <f t="shared" si="1"/>
        <v>Большой</v>
      </c>
      <c r="D8" s="42">
        <f>VLOOKUP(A8,'Задание 2 (Известные данные)'!$A$2:$D$501,2,FALSE)</f>
        <v>2765432</v>
      </c>
      <c r="E8" s="43">
        <f>ROUND(D8*VLOOKUP(B8,'Задание 2 (Справочник)'!$B$8:$D$12,2,FALSE)/(1-VLOOKUP(B8,'Задание 2 (Справочник)'!$B$8:$D$12,3,FALSE)),0)</f>
        <v>3160494</v>
      </c>
      <c r="F8" s="43">
        <f>VLOOKUP(A8,'Задание 2 (Известные данные)'!$A$2:$D$501,3,FALSE)</f>
        <v>1825185</v>
      </c>
      <c r="G8" s="37">
        <f>F8*VLOOKUP(A8,'Задание 2 (Известные данные)'!$A$2:$D$501,4,FALSE)/1000</f>
        <v>264651.825</v>
      </c>
      <c r="H8" s="43">
        <f>ROUND(E8*VLOOKUP(C8,'Задание 2 (Справочник)'!$B$16:$C$18,2,FALSE),0)</f>
        <v>15802</v>
      </c>
      <c r="I8" s="43">
        <f t="shared" si="2"/>
        <v>132483.93</v>
      </c>
    </row>
    <row r="9" ht="13.5" customHeight="1">
      <c r="A9" s="1" t="s">
        <v>115</v>
      </c>
      <c r="B9" s="1" t="s">
        <v>74</v>
      </c>
      <c r="C9" s="41" t="str">
        <f t="shared" si="1"/>
        <v>Большой</v>
      </c>
      <c r="D9" s="42">
        <f>VLOOKUP(A9,'Задание 2 (Известные данные)'!$A$2:$D$501,2,FALSE)</f>
        <v>3987612</v>
      </c>
      <c r="E9" s="43">
        <f>ROUND(D9*VLOOKUP(B9,'Задание 2 (Справочник)'!$B$8:$D$12,2,FALSE)/(1-VLOOKUP(B9,'Задание 2 (Справочник)'!$B$8:$D$12,3,FALSE)),0)</f>
        <v>4557271</v>
      </c>
      <c r="F9" s="43">
        <f>VLOOKUP(A9,'Задание 2 (Известные данные)'!$A$2:$D$501,3,FALSE)</f>
        <v>2631824</v>
      </c>
      <c r="G9" s="37">
        <f>F9*VLOOKUP(A9,'Задание 2 (Известные данные)'!$A$2:$D$501,4,FALSE)/1000</f>
        <v>439514.608</v>
      </c>
      <c r="H9" s="43">
        <f>ROUND(E9*VLOOKUP(C9,'Задание 2 (Справочник)'!$B$16:$C$18,2,FALSE),0)</f>
        <v>22786</v>
      </c>
      <c r="I9" s="43">
        <f t="shared" si="2"/>
        <v>219985.16</v>
      </c>
    </row>
    <row r="10" ht="13.5" customHeight="1">
      <c r="A10" s="1" t="s">
        <v>116</v>
      </c>
      <c r="B10" s="1" t="s">
        <v>74</v>
      </c>
      <c r="C10" s="41" t="str">
        <f t="shared" si="1"/>
        <v>Большой</v>
      </c>
      <c r="D10" s="42">
        <f>VLOOKUP(A10,'Задание 2 (Известные данные)'!$A$2:$D$501,2,FALSE)</f>
        <v>1876543</v>
      </c>
      <c r="E10" s="43">
        <f>ROUND(D10*VLOOKUP(B10,'Задание 2 (Справочник)'!$B$8:$D$12,2,FALSE)/(1-VLOOKUP(B10,'Задание 2 (Справочник)'!$B$8:$D$12,3,FALSE)),0)</f>
        <v>2144621</v>
      </c>
      <c r="F10" s="43">
        <f>VLOOKUP(A10,'Задание 2 (Известные данные)'!$A$2:$D$501,3,FALSE)</f>
        <v>1238518</v>
      </c>
      <c r="G10" s="37">
        <f>F10*VLOOKUP(A10,'Задание 2 (Известные данные)'!$A$2:$D$501,4,FALSE)/1000</f>
        <v>152337.714</v>
      </c>
      <c r="H10" s="43">
        <f>ROUND(E10*VLOOKUP(C10,'Задание 2 (Справочник)'!$B$16:$C$18,2,FALSE),0)</f>
        <v>10723</v>
      </c>
      <c r="I10" s="43">
        <f t="shared" si="2"/>
        <v>76276.09</v>
      </c>
    </row>
    <row r="11" ht="13.5" customHeight="1">
      <c r="A11" s="1" t="s">
        <v>117</v>
      </c>
      <c r="B11" s="1" t="s">
        <v>74</v>
      </c>
      <c r="C11" s="41" t="str">
        <f t="shared" si="1"/>
        <v>Большой</v>
      </c>
      <c r="D11" s="42">
        <f>VLOOKUP(A11,'Задание 2 (Известные данные)'!$A$2:$D$501,2,FALSE)</f>
        <v>4509876</v>
      </c>
      <c r="E11" s="43">
        <f>ROUND(D11*VLOOKUP(B11,'Задание 2 (Справочник)'!$B$8:$D$12,2,FALSE)/(1-VLOOKUP(B11,'Задание 2 (Справочник)'!$B$8:$D$12,3,FALSE)),0)</f>
        <v>5154144</v>
      </c>
      <c r="F11" s="43">
        <f>VLOOKUP(A11,'Задание 2 (Известные данные)'!$A$2:$D$501,3,FALSE)</f>
        <v>2976518</v>
      </c>
      <c r="G11" s="37">
        <f>F11*VLOOKUP(A11,'Задание 2 (Известные данные)'!$A$2:$D$501,4,FALSE)/1000</f>
        <v>571491.456</v>
      </c>
      <c r="H11" s="43">
        <f>ROUND(E11*VLOOKUP(C11,'Задание 2 (Справочник)'!$B$16:$C$18,2,FALSE),0)</f>
        <v>25771</v>
      </c>
      <c r="I11" s="43">
        <f t="shared" si="2"/>
        <v>286003.44</v>
      </c>
    </row>
    <row r="12" ht="13.5" customHeight="1">
      <c r="A12" s="1" t="s">
        <v>118</v>
      </c>
      <c r="B12" s="1" t="s">
        <v>74</v>
      </c>
      <c r="C12" s="41" t="str">
        <f t="shared" si="1"/>
        <v>Большой</v>
      </c>
      <c r="D12" s="42">
        <f>VLOOKUP(A12,'Задание 2 (Известные данные)'!$A$2:$D$501,2,FALSE)</f>
        <v>2345678</v>
      </c>
      <c r="E12" s="43">
        <f>ROUND(D12*VLOOKUP(B12,'Задание 2 (Справочник)'!$B$8:$D$12,2,FALSE)/(1-VLOOKUP(B12,'Задание 2 (Справочник)'!$B$8:$D$12,3,FALSE)),0)</f>
        <v>2680775</v>
      </c>
      <c r="F12" s="43">
        <f>VLOOKUP(A12,'Задание 2 (Известные данные)'!$A$2:$D$501,3,FALSE)</f>
        <v>1548148</v>
      </c>
      <c r="G12" s="37">
        <f>F12*VLOOKUP(A12,'Задание 2 (Известные данные)'!$A$2:$D$501,4,FALSE)/1000</f>
        <v>167199.984</v>
      </c>
      <c r="H12" s="43">
        <f>ROUND(E12*VLOOKUP(C12,'Задание 2 (Справочник)'!$B$16:$C$18,2,FALSE),0)</f>
        <v>13404</v>
      </c>
      <c r="I12" s="43">
        <f t="shared" si="2"/>
        <v>83734.03</v>
      </c>
    </row>
    <row r="13" ht="13.5" customHeight="1">
      <c r="A13" s="1" t="s">
        <v>119</v>
      </c>
      <c r="B13" s="1" t="s">
        <v>74</v>
      </c>
      <c r="C13" s="41" t="str">
        <f t="shared" si="1"/>
        <v>Большой</v>
      </c>
      <c r="D13" s="42">
        <f>VLOOKUP(A13,'Задание 2 (Известные данные)'!$A$2:$D$501,2,FALSE)</f>
        <v>3678901</v>
      </c>
      <c r="E13" s="43">
        <f>ROUND(D13*VLOOKUP(B13,'Задание 2 (Справочник)'!$B$8:$D$12,2,FALSE)/(1-VLOOKUP(B13,'Задание 2 (Справочник)'!$B$8:$D$12,3,FALSE)),0)</f>
        <v>4204458</v>
      </c>
      <c r="F13" s="43">
        <f>VLOOKUP(A13,'Задание 2 (Известные данные)'!$A$2:$D$501,3,FALSE)</f>
        <v>2428075</v>
      </c>
      <c r="G13" s="37">
        <f>F13*VLOOKUP(A13,'Задание 2 (Известные данные)'!$A$2:$D$501,4,FALSE)/1000</f>
        <v>422485.05</v>
      </c>
      <c r="H13" s="43">
        <f>ROUND(E13*VLOOKUP(C13,'Задание 2 (Справочник)'!$B$16:$C$18,2,FALSE),0)</f>
        <v>21022</v>
      </c>
      <c r="I13" s="43">
        <f t="shared" si="2"/>
        <v>211452.75</v>
      </c>
    </row>
    <row r="14" ht="13.5" customHeight="1">
      <c r="A14" s="1" t="s">
        <v>120</v>
      </c>
      <c r="B14" s="1" t="s">
        <v>74</v>
      </c>
      <c r="C14" s="41" t="str">
        <f t="shared" si="1"/>
        <v>Большой</v>
      </c>
      <c r="D14" s="42">
        <f>VLOOKUP(A14,'Задание 2 (Известные данные)'!$A$2:$D$501,2,FALSE)</f>
        <v>2987654</v>
      </c>
      <c r="E14" s="43">
        <f>ROUND(D14*VLOOKUP(B14,'Задание 2 (Справочник)'!$B$8:$D$12,2,FALSE)/(1-VLOOKUP(B14,'Задание 2 (Справочник)'!$B$8:$D$12,3,FALSE)),0)</f>
        <v>3414462</v>
      </c>
      <c r="F14" s="43">
        <f>VLOOKUP(A14,'Задание 2 (Известные данные)'!$A$2:$D$501,3,FALSE)</f>
        <v>1971851</v>
      </c>
      <c r="G14" s="37">
        <f>F14*VLOOKUP(A14,'Задание 2 (Известные данные)'!$A$2:$D$501,4,FALSE)/1000</f>
        <v>274087.289</v>
      </c>
      <c r="H14" s="43">
        <f>ROUND(E14*VLOOKUP(C14,'Задание 2 (Справочник)'!$B$16:$C$18,2,FALSE),0)</f>
        <v>17072</v>
      </c>
      <c r="I14" s="43">
        <f t="shared" si="2"/>
        <v>137214.36</v>
      </c>
    </row>
    <row r="15" ht="13.5" customHeight="1">
      <c r="A15" s="1" t="s">
        <v>121</v>
      </c>
      <c r="B15" s="1" t="s">
        <v>74</v>
      </c>
      <c r="C15" s="41" t="str">
        <f t="shared" si="1"/>
        <v>Большой</v>
      </c>
      <c r="D15" s="42">
        <f>VLOOKUP(A15,'Задание 2 (Известные данные)'!$A$2:$D$501,2,FALSE)</f>
        <v>4234567</v>
      </c>
      <c r="E15" s="43">
        <f>ROUND(D15*VLOOKUP(B15,'Задание 2 (Справочник)'!$B$8:$D$12,2,FALSE)/(1-VLOOKUP(B15,'Задание 2 (Справочник)'!$B$8:$D$12,3,FALSE)),0)</f>
        <v>4839505</v>
      </c>
      <c r="F15" s="43">
        <f>VLOOKUP(A15,'Задание 2 (Известные данные)'!$A$2:$D$501,3,FALSE)</f>
        <v>2794814</v>
      </c>
      <c r="G15" s="37">
        <f>F15*VLOOKUP(A15,'Задание 2 (Известные данные)'!$A$2:$D$501,4,FALSE)/1000</f>
        <v>505861.334</v>
      </c>
      <c r="H15" s="43">
        <f>ROUND(E15*VLOOKUP(C15,'Задание 2 (Справочник)'!$B$16:$C$18,2,FALSE),0)</f>
        <v>24198</v>
      </c>
      <c r="I15" s="43">
        <f t="shared" si="2"/>
        <v>253172.65</v>
      </c>
    </row>
    <row r="16" ht="13.5" customHeight="1">
      <c r="A16" s="1" t="s">
        <v>122</v>
      </c>
      <c r="B16" s="1" t="s">
        <v>74</v>
      </c>
      <c r="C16" s="41" t="str">
        <f t="shared" si="1"/>
        <v>Большой</v>
      </c>
      <c r="D16" s="42">
        <f>VLOOKUP(A16,'Задание 2 (Известные данные)'!$A$2:$D$501,2,FALSE)</f>
        <v>1654321</v>
      </c>
      <c r="E16" s="43">
        <f>ROUND(D16*VLOOKUP(B16,'Задание 2 (Справочник)'!$B$8:$D$12,2,FALSE)/(1-VLOOKUP(B16,'Задание 2 (Справочник)'!$B$8:$D$12,3,FALSE)),0)</f>
        <v>1890653</v>
      </c>
      <c r="F16" s="43">
        <f>VLOOKUP(A16,'Задание 2 (Известные данные)'!$A$2:$D$501,3,FALSE)</f>
        <v>1091852</v>
      </c>
      <c r="G16" s="37">
        <f>F16*VLOOKUP(A16,'Задание 2 (Известные данные)'!$A$2:$D$501,4,FALSE)/1000</f>
        <v>125562.98</v>
      </c>
      <c r="H16" s="43">
        <f>ROUND(E16*VLOOKUP(C16,'Задание 2 (Справочник)'!$B$16:$C$18,2,FALSE),0)</f>
        <v>9453</v>
      </c>
      <c r="I16" s="43">
        <f t="shared" si="2"/>
        <v>62876.02</v>
      </c>
    </row>
    <row r="17" ht="13.5" customHeight="1">
      <c r="A17" s="1" t="s">
        <v>123</v>
      </c>
      <c r="B17" s="1" t="s">
        <v>74</v>
      </c>
      <c r="C17" s="41" t="str">
        <f t="shared" si="1"/>
        <v>Большой</v>
      </c>
      <c r="D17" s="42">
        <f>VLOOKUP(A17,'Задание 2 (Известные данные)'!$A$2:$D$501,2,FALSE)</f>
        <v>5123987</v>
      </c>
      <c r="E17" s="43">
        <f>ROUND(D17*VLOOKUP(B17,'Задание 2 (Справочник)'!$B$8:$D$12,2,FALSE)/(1-VLOOKUP(B17,'Задание 2 (Справочник)'!$B$8:$D$12,3,FALSE)),0)</f>
        <v>5855985</v>
      </c>
      <c r="F17" s="43">
        <f>VLOOKUP(A17,'Задание 2 (Известные данные)'!$A$2:$D$501,3,FALSE)</f>
        <v>3381832</v>
      </c>
      <c r="G17" s="37">
        <f>F17*VLOOKUP(A17,'Задание 2 (Известные данные)'!$A$2:$D$501,4,FALSE)/1000</f>
        <v>659457.24</v>
      </c>
      <c r="H17" s="43">
        <f>ROUND(E17*VLOOKUP(C17,'Задание 2 (Справочник)'!$B$16:$C$18,2,FALSE),0)</f>
        <v>29280</v>
      </c>
      <c r="I17" s="43">
        <f t="shared" si="2"/>
        <v>330021.42</v>
      </c>
    </row>
    <row r="18" ht="13.5" customHeight="1">
      <c r="A18" s="1" t="s">
        <v>124</v>
      </c>
      <c r="B18" s="1" t="s">
        <v>74</v>
      </c>
      <c r="C18" s="41" t="str">
        <f t="shared" si="1"/>
        <v>Большой</v>
      </c>
      <c r="D18" s="42">
        <f>VLOOKUP(A18,'Задание 2 (Известные данные)'!$A$2:$D$501,2,FALSE)</f>
        <v>2543210</v>
      </c>
      <c r="E18" s="43">
        <f>ROUND(D18*VLOOKUP(B18,'Задание 2 (Справочник)'!$B$8:$D$12,2,FALSE)/(1-VLOOKUP(B18,'Задание 2 (Справочник)'!$B$8:$D$12,3,FALSE)),0)</f>
        <v>2906526</v>
      </c>
      <c r="F18" s="43">
        <f>VLOOKUP(A18,'Задание 2 (Известные данные)'!$A$2:$D$501,3,FALSE)</f>
        <v>1678519</v>
      </c>
      <c r="G18" s="37">
        <f>F18*VLOOKUP(A18,'Задание 2 (Известные данные)'!$A$2:$D$501,4,FALSE)/1000</f>
        <v>238349.698</v>
      </c>
      <c r="H18" s="43">
        <f>ROUND(E18*VLOOKUP(C18,'Задание 2 (Справочник)'!$B$16:$C$18,2,FALSE),0)</f>
        <v>14533</v>
      </c>
      <c r="I18" s="43">
        <f t="shared" si="2"/>
        <v>119320.18</v>
      </c>
    </row>
    <row r="19" ht="13.5" customHeight="1">
      <c r="A19" s="1" t="s">
        <v>125</v>
      </c>
      <c r="B19" s="1" t="s">
        <v>74</v>
      </c>
      <c r="C19" s="41" t="str">
        <f t="shared" si="1"/>
        <v>Средний</v>
      </c>
      <c r="D19" s="42">
        <f>VLOOKUP(A19,'Задание 2 (Известные данные)'!$A$2:$D$501,2,FALSE)</f>
        <v>234567</v>
      </c>
      <c r="E19" s="43">
        <f>ROUND(D19*VLOOKUP(B19,'Задание 2 (Справочник)'!$B$8:$D$12,2,FALSE)/(1-VLOOKUP(B19,'Задание 2 (Справочник)'!$B$8:$D$12,3,FALSE)),0)</f>
        <v>268077</v>
      </c>
      <c r="F19" s="43">
        <f>VLOOKUP(A19,'Задание 2 (Известные данные)'!$A$2:$D$501,3,FALSE)</f>
        <v>154814</v>
      </c>
      <c r="G19" s="37">
        <f>F19*VLOOKUP(A19,'Задание 2 (Известные данные)'!$A$2:$D$501,4,FALSE)/1000</f>
        <v>15171.772</v>
      </c>
      <c r="H19" s="43">
        <f>ROUND(E19*VLOOKUP(C19,'Задание 2 (Справочник)'!$B$16:$C$18,2,FALSE),0)</f>
        <v>2011</v>
      </c>
      <c r="I19" s="43">
        <f t="shared" si="2"/>
        <v>7606</v>
      </c>
    </row>
    <row r="20" ht="13.5" customHeight="1">
      <c r="A20" s="1" t="s">
        <v>126</v>
      </c>
      <c r="B20" s="1" t="s">
        <v>74</v>
      </c>
      <c r="C20" s="41" t="str">
        <f t="shared" si="1"/>
        <v>Средний</v>
      </c>
      <c r="D20" s="42">
        <f>VLOOKUP(A20,'Задание 2 (Известные данные)'!$A$2:$D$501,2,FALSE)</f>
        <v>345678</v>
      </c>
      <c r="E20" s="43">
        <f>ROUND(D20*VLOOKUP(B20,'Задание 2 (Справочник)'!$B$8:$D$12,2,FALSE)/(1-VLOOKUP(B20,'Задание 2 (Справочник)'!$B$8:$D$12,3,FALSE)),0)</f>
        <v>395061</v>
      </c>
      <c r="F20" s="43">
        <f>VLOOKUP(A20,'Задание 2 (Известные данные)'!$A$2:$D$501,3,FALSE)</f>
        <v>228148</v>
      </c>
      <c r="G20" s="37">
        <f>F20*VLOOKUP(A20,'Задание 2 (Известные данные)'!$A$2:$D$501,4,FALSE)/1000</f>
        <v>26237.02</v>
      </c>
      <c r="H20" s="43">
        <f>ROUND(E20*VLOOKUP(C20,'Задание 2 (Справочник)'!$B$16:$C$18,2,FALSE),0)</f>
        <v>2963</v>
      </c>
      <c r="I20" s="43">
        <f t="shared" si="2"/>
        <v>13148.14</v>
      </c>
    </row>
    <row r="21" ht="13.5" customHeight="1">
      <c r="A21" s="1" t="s">
        <v>127</v>
      </c>
      <c r="B21" s="1" t="s">
        <v>74</v>
      </c>
      <c r="C21" s="41" t="str">
        <f t="shared" si="1"/>
        <v>Средний</v>
      </c>
      <c r="D21" s="42">
        <f>VLOOKUP(A21,'Задание 2 (Известные данные)'!$A$2:$D$501,2,FALSE)</f>
        <v>123456</v>
      </c>
      <c r="E21" s="43">
        <f>ROUND(D21*VLOOKUP(B21,'Задание 2 (Справочник)'!$B$8:$D$12,2,FALSE)/(1-VLOOKUP(B21,'Задание 2 (Справочник)'!$B$8:$D$12,3,FALSE)),0)</f>
        <v>141093</v>
      </c>
      <c r="F21" s="43">
        <f>VLOOKUP(A21,'Задание 2 (Известные данные)'!$A$2:$D$501,3,FALSE)</f>
        <v>81481</v>
      </c>
      <c r="G21" s="37">
        <f>F21*VLOOKUP(A21,'Задание 2 (Известные данные)'!$A$2:$D$501,4,FALSE)/1000</f>
        <v>7088.847</v>
      </c>
      <c r="H21" s="43">
        <f>ROUND(E21*VLOOKUP(C21,'Задание 2 (Справочник)'!$B$16:$C$18,2,FALSE),0)</f>
        <v>1058</v>
      </c>
      <c r="I21" s="43">
        <f t="shared" si="2"/>
        <v>3555</v>
      </c>
    </row>
    <row r="22" ht="13.5" customHeight="1">
      <c r="A22" s="1" t="s">
        <v>128</v>
      </c>
      <c r="B22" s="1" t="s">
        <v>74</v>
      </c>
      <c r="C22" s="41" t="str">
        <f t="shared" si="1"/>
        <v>Средний</v>
      </c>
      <c r="D22" s="42">
        <f>VLOOKUP(A22,'Задание 2 (Известные данные)'!$A$2:$D$501,2,FALSE)</f>
        <v>456789</v>
      </c>
      <c r="E22" s="43">
        <f>ROUND(D22*VLOOKUP(B22,'Задание 2 (Справочник)'!$B$8:$D$12,2,FALSE)/(1-VLOOKUP(B22,'Задание 2 (Справочник)'!$B$8:$D$12,3,FALSE)),0)</f>
        <v>522045</v>
      </c>
      <c r="F22" s="43">
        <f>VLOOKUP(A22,'Задание 2 (Известные данные)'!$A$2:$D$501,3,FALSE)</f>
        <v>301481</v>
      </c>
      <c r="G22" s="37">
        <f>F22*VLOOKUP(A22,'Задание 2 (Известные данные)'!$A$2:$D$501,4,FALSE)/1000</f>
        <v>39494.011</v>
      </c>
      <c r="H22" s="43">
        <f>ROUND(E22*VLOOKUP(C22,'Задание 2 (Справочник)'!$B$16:$C$18,2,FALSE),0)</f>
        <v>3915</v>
      </c>
      <c r="I22" s="43">
        <f t="shared" si="2"/>
        <v>19786.16</v>
      </c>
    </row>
    <row r="23" ht="13.5" customHeight="1">
      <c r="A23" s="1" t="s">
        <v>129</v>
      </c>
      <c r="B23" s="1" t="s">
        <v>74</v>
      </c>
      <c r="C23" s="41" t="str">
        <f t="shared" si="1"/>
        <v>Средний</v>
      </c>
      <c r="D23" s="42">
        <f>VLOOKUP(A23,'Задание 2 (Известные данные)'!$A$2:$D$501,2,FALSE)</f>
        <v>198765</v>
      </c>
      <c r="E23" s="43">
        <f>ROUND(D23*VLOOKUP(B23,'Задание 2 (Справочник)'!$B$8:$D$12,2,FALSE)/(1-VLOOKUP(B23,'Задание 2 (Справочник)'!$B$8:$D$12,3,FALSE)),0)</f>
        <v>227160</v>
      </c>
      <c r="F23" s="43">
        <f>VLOOKUP(A23,'Задание 2 (Известные данные)'!$A$2:$D$501,3,FALSE)</f>
        <v>131185</v>
      </c>
      <c r="G23" s="37">
        <f>F23*VLOOKUP(A23,'Задание 2 (Известные данные)'!$A$2:$D$501,4,FALSE)/1000</f>
        <v>13643.24</v>
      </c>
      <c r="H23" s="43">
        <f>ROUND(E23*VLOOKUP(C23,'Задание 2 (Справочник)'!$B$16:$C$18,2,FALSE),0)</f>
        <v>1704</v>
      </c>
      <c r="I23" s="43">
        <f t="shared" si="2"/>
        <v>6838.66</v>
      </c>
    </row>
    <row r="24" ht="13.5" customHeight="1">
      <c r="A24" s="1" t="s">
        <v>130</v>
      </c>
      <c r="B24" s="1" t="s">
        <v>74</v>
      </c>
      <c r="C24" s="41" t="str">
        <f t="shared" si="1"/>
        <v>Средний</v>
      </c>
      <c r="D24" s="42">
        <f>VLOOKUP(A24,'Задание 2 (Известные данные)'!$A$2:$D$501,2,FALSE)</f>
        <v>287654</v>
      </c>
      <c r="E24" s="43">
        <f>ROUND(D24*VLOOKUP(B24,'Задание 2 (Справочник)'!$B$8:$D$12,2,FALSE)/(1-VLOOKUP(B24,'Задание 2 (Справочник)'!$B$8:$D$12,3,FALSE)),0)</f>
        <v>328747</v>
      </c>
      <c r="F24" s="43">
        <f>VLOOKUP(A24,'Задание 2 (Известные данные)'!$A$2:$D$501,3,FALSE)</f>
        <v>189851</v>
      </c>
      <c r="G24" s="37">
        <f>F24*VLOOKUP(A24,'Задание 2 (Известные данные)'!$A$2:$D$501,4,FALSE)/1000</f>
        <v>22592.269</v>
      </c>
      <c r="H24" s="43">
        <f>ROUND(E24*VLOOKUP(C24,'Задание 2 (Справочник)'!$B$16:$C$18,2,FALSE),0)</f>
        <v>2466</v>
      </c>
      <c r="I24" s="43">
        <f t="shared" si="2"/>
        <v>11320.79</v>
      </c>
    </row>
    <row r="25" ht="13.5" customHeight="1">
      <c r="A25" s="1" t="s">
        <v>131</v>
      </c>
      <c r="B25" s="1" t="s">
        <v>74</v>
      </c>
      <c r="C25" s="41" t="str">
        <f t="shared" si="1"/>
        <v>Средний</v>
      </c>
      <c r="D25" s="42">
        <f>VLOOKUP(A25,'Задание 2 (Известные данные)'!$A$2:$D$501,2,FALSE)</f>
        <v>165432</v>
      </c>
      <c r="E25" s="43">
        <f>ROUND(D25*VLOOKUP(B25,'Задание 2 (Справочник)'!$B$8:$D$12,2,FALSE)/(1-VLOOKUP(B25,'Задание 2 (Справочник)'!$B$8:$D$12,3,FALSE)),0)</f>
        <v>189065</v>
      </c>
      <c r="F25" s="43">
        <f>VLOOKUP(A25,'Задание 2 (Известные данные)'!$A$2:$D$501,3,FALSE)</f>
        <v>109185</v>
      </c>
      <c r="G25" s="37">
        <f>F25*VLOOKUP(A25,'Задание 2 (Известные данные)'!$A$2:$D$501,4,FALSE)/1000</f>
        <v>10154.205</v>
      </c>
      <c r="H25" s="43">
        <f>ROUND(E25*VLOOKUP(C25,'Задание 2 (Справочник)'!$B$16:$C$18,2,FALSE),0)</f>
        <v>1418</v>
      </c>
      <c r="I25" s="43">
        <f t="shared" si="2"/>
        <v>5091.28</v>
      </c>
    </row>
    <row r="26" ht="13.5" customHeight="1">
      <c r="A26" s="1" t="s">
        <v>132</v>
      </c>
      <c r="B26" s="1" t="s">
        <v>74</v>
      </c>
      <c r="C26" s="41" t="str">
        <f t="shared" si="1"/>
        <v>Средний</v>
      </c>
      <c r="D26" s="42">
        <f>VLOOKUP(A26,'Задание 2 (Известные данные)'!$A$2:$D$501,2,FALSE)</f>
        <v>398761</v>
      </c>
      <c r="E26" s="43">
        <f>ROUND(D26*VLOOKUP(B26,'Задание 2 (Справочник)'!$B$8:$D$12,2,FALSE)/(1-VLOOKUP(B26,'Задание 2 (Справочник)'!$B$8:$D$12,3,FALSE)),0)</f>
        <v>455727</v>
      </c>
      <c r="F26" s="43">
        <f>VLOOKUP(A26,'Задание 2 (Известные данные)'!$A$2:$D$501,3,FALSE)</f>
        <v>263182</v>
      </c>
      <c r="G26" s="37">
        <f>F26*VLOOKUP(A26,'Задание 2 (Известные данные)'!$A$2:$D$501,4,FALSE)/1000</f>
        <v>33424.114</v>
      </c>
      <c r="H26" s="43">
        <f>ROUND(E26*VLOOKUP(C26,'Задание 2 (Справочник)'!$B$16:$C$18,2,FALSE),0)</f>
        <v>3418</v>
      </c>
      <c r="I26" s="43">
        <f t="shared" si="2"/>
        <v>16746.24</v>
      </c>
    </row>
    <row r="27" ht="13.5" customHeight="1">
      <c r="A27" s="1" t="s">
        <v>133</v>
      </c>
      <c r="B27" s="1" t="s">
        <v>74</v>
      </c>
      <c r="C27" s="41" t="str">
        <f t="shared" si="1"/>
        <v>Средний</v>
      </c>
      <c r="D27" s="42">
        <f>VLOOKUP(A27,'Задание 2 (Известные данные)'!$A$2:$D$501,2,FALSE)</f>
        <v>210987</v>
      </c>
      <c r="E27" s="43">
        <f>ROUND(D27*VLOOKUP(B27,'Задание 2 (Справочник)'!$B$8:$D$12,2,FALSE)/(1-VLOOKUP(B27,'Задание 2 (Справочник)'!$B$8:$D$12,3,FALSE)),0)</f>
        <v>241128</v>
      </c>
      <c r="F27" s="43">
        <f>VLOOKUP(A27,'Задание 2 (Известные данные)'!$A$2:$D$501,3,FALSE)</f>
        <v>139252</v>
      </c>
      <c r="G27" s="37">
        <f>F27*VLOOKUP(A27,'Задание 2 (Известные данные)'!$A$2:$D$501,4,FALSE)/1000</f>
        <v>15178.468</v>
      </c>
      <c r="H27" s="43">
        <f>ROUND(E27*VLOOKUP(C27,'Задание 2 (Справочник)'!$B$16:$C$18,2,FALSE),0)</f>
        <v>1808</v>
      </c>
      <c r="I27" s="43">
        <f t="shared" si="2"/>
        <v>7607.31</v>
      </c>
    </row>
    <row r="28" ht="13.5" customHeight="1">
      <c r="A28" s="1" t="s">
        <v>134</v>
      </c>
      <c r="B28" s="1" t="s">
        <v>74</v>
      </c>
      <c r="C28" s="41" t="str">
        <f t="shared" si="1"/>
        <v>Средний</v>
      </c>
      <c r="D28" s="42">
        <f>VLOOKUP(A28,'Задание 2 (Известные данные)'!$A$2:$D$501,2,FALSE)</f>
        <v>321098</v>
      </c>
      <c r="E28" s="43">
        <f>ROUND(D28*VLOOKUP(B28,'Задание 2 (Справочник)'!$B$8:$D$12,2,FALSE)/(1-VLOOKUP(B28,'Задание 2 (Справочник)'!$B$8:$D$12,3,FALSE)),0)</f>
        <v>366969</v>
      </c>
      <c r="F28" s="43">
        <f>VLOOKUP(A28,'Задание 2 (Известные данные)'!$A$2:$D$501,3,FALSE)</f>
        <v>211925</v>
      </c>
      <c r="G28" s="37">
        <f>F28*VLOOKUP(A28,'Задание 2 (Известные данные)'!$A$2:$D$501,4,FALSE)/1000</f>
        <v>25854.85</v>
      </c>
      <c r="H28" s="43">
        <f>ROUND(E28*VLOOKUP(C28,'Задание 2 (Справочник)'!$B$16:$C$18,2,FALSE),0)</f>
        <v>2752</v>
      </c>
      <c r="I28" s="43">
        <f t="shared" si="2"/>
        <v>12954.95</v>
      </c>
    </row>
    <row r="29" ht="13.5" customHeight="1">
      <c r="A29" s="1" t="s">
        <v>135</v>
      </c>
      <c r="B29" s="1" t="s">
        <v>74</v>
      </c>
      <c r="C29" s="41" t="str">
        <f t="shared" si="1"/>
        <v>Средний</v>
      </c>
      <c r="D29" s="42">
        <f>VLOOKUP(A29,'Задание 2 (Известные данные)'!$A$2:$D$501,2,FALSE)</f>
        <v>143210</v>
      </c>
      <c r="E29" s="43">
        <f>ROUND(D29*VLOOKUP(B29,'Задание 2 (Справочник)'!$B$8:$D$12,2,FALSE)/(1-VLOOKUP(B29,'Задание 2 (Справочник)'!$B$8:$D$12,3,FALSE)),0)</f>
        <v>163669</v>
      </c>
      <c r="F29" s="43">
        <f>VLOOKUP(A29,'Задание 2 (Известные данные)'!$A$2:$D$501,3,FALSE)</f>
        <v>94519</v>
      </c>
      <c r="G29" s="37">
        <f>F29*VLOOKUP(A29,'Задание 2 (Известные данные)'!$A$2:$D$501,4,FALSE)/1000</f>
        <v>8412.191</v>
      </c>
      <c r="H29" s="43">
        <f>ROUND(E29*VLOOKUP(C29,'Задание 2 (Справочник)'!$B$16:$C$18,2,FALSE),0)</f>
        <v>1228</v>
      </c>
      <c r="I29" s="43">
        <f t="shared" si="2"/>
        <v>4218.38</v>
      </c>
    </row>
    <row r="30" ht="13.5" customHeight="1">
      <c r="A30" s="1" t="s">
        <v>136</v>
      </c>
      <c r="B30" s="1" t="s">
        <v>74</v>
      </c>
      <c r="C30" s="41" t="str">
        <f t="shared" si="1"/>
        <v>Средний</v>
      </c>
      <c r="D30" s="42">
        <f>VLOOKUP(A30,'Задание 2 (Известные данные)'!$A$2:$D$501,2,FALSE)</f>
        <v>254321</v>
      </c>
      <c r="E30" s="43">
        <f>ROUND(D30*VLOOKUP(B30,'Задание 2 (Справочник)'!$B$8:$D$12,2,FALSE)/(1-VLOOKUP(B30,'Задание 2 (Справочник)'!$B$8:$D$12,3,FALSE)),0)</f>
        <v>290653</v>
      </c>
      <c r="F30" s="43">
        <f>VLOOKUP(A30,'Задание 2 (Известные данные)'!$A$2:$D$501,3,FALSE)</f>
        <v>167852</v>
      </c>
      <c r="G30" s="37">
        <f>F30*VLOOKUP(A30,'Задание 2 (Известные данные)'!$A$2:$D$501,4,FALSE)/1000</f>
        <v>18967.276</v>
      </c>
      <c r="H30" s="43">
        <f>ROUND(E30*VLOOKUP(C30,'Задание 2 (Справочник)'!$B$16:$C$18,2,FALSE),0)</f>
        <v>2180</v>
      </c>
      <c r="I30" s="43">
        <f t="shared" si="2"/>
        <v>9505.44</v>
      </c>
    </row>
    <row r="31" ht="13.5" customHeight="1">
      <c r="A31" s="1" t="s">
        <v>137</v>
      </c>
      <c r="B31" s="1" t="s">
        <v>74</v>
      </c>
      <c r="C31" s="41" t="str">
        <f t="shared" si="1"/>
        <v>Средний</v>
      </c>
      <c r="D31" s="42">
        <f>VLOOKUP(A31,'Задание 2 (Известные данные)'!$A$2:$D$501,2,FALSE)</f>
        <v>367890</v>
      </c>
      <c r="E31" s="43">
        <f>ROUND(D31*VLOOKUP(B31,'Задание 2 (Справочник)'!$B$8:$D$12,2,FALSE)/(1-VLOOKUP(B31,'Задание 2 (Справочник)'!$B$8:$D$12,3,FALSE)),0)</f>
        <v>420446</v>
      </c>
      <c r="F31" s="43">
        <f>VLOOKUP(A31,'Задание 2 (Известные данные)'!$A$2:$D$501,3,FALSE)</f>
        <v>242807</v>
      </c>
      <c r="G31" s="37">
        <f>F31*VLOOKUP(A31,'Задание 2 (Известные данные)'!$A$2:$D$501,4,FALSE)/1000</f>
        <v>33021.752</v>
      </c>
      <c r="H31" s="43">
        <f>ROUND(E31*VLOOKUP(C31,'Задание 2 (Справочник)'!$B$16:$C$18,2,FALSE),0)</f>
        <v>3153</v>
      </c>
      <c r="I31" s="43">
        <f t="shared" si="2"/>
        <v>16542.41</v>
      </c>
    </row>
    <row r="32" ht="13.5" customHeight="1">
      <c r="A32" s="1" t="s">
        <v>138</v>
      </c>
      <c r="B32" s="1" t="s">
        <v>74</v>
      </c>
      <c r="C32" s="41" t="str">
        <f t="shared" si="1"/>
        <v>Средний</v>
      </c>
      <c r="D32" s="42">
        <f>VLOOKUP(A32,'Задание 2 (Известные данные)'!$A$2:$D$501,2,FALSE)</f>
        <v>176543</v>
      </c>
      <c r="E32" s="43">
        <f>ROUND(D32*VLOOKUP(B32,'Задание 2 (Справочник)'!$B$8:$D$12,2,FALSE)/(1-VLOOKUP(B32,'Задание 2 (Справочник)'!$B$8:$D$12,3,FALSE)),0)</f>
        <v>201763</v>
      </c>
      <c r="F32" s="43">
        <f>VLOOKUP(A32,'Задание 2 (Известные данные)'!$A$2:$D$501,3,FALSE)</f>
        <v>116518</v>
      </c>
      <c r="G32" s="37">
        <f>F32*VLOOKUP(A32,'Задание 2 (Известные данные)'!$A$2:$D$501,4,FALSE)/1000</f>
        <v>11185.728</v>
      </c>
      <c r="H32" s="43">
        <f>ROUND(E32*VLOOKUP(C32,'Задание 2 (Справочник)'!$B$16:$C$18,2,FALSE),0)</f>
        <v>1513</v>
      </c>
      <c r="I32" s="43">
        <f t="shared" si="2"/>
        <v>5607.99</v>
      </c>
    </row>
    <row r="33" ht="13.5" customHeight="1">
      <c r="A33" s="1" t="s">
        <v>139</v>
      </c>
      <c r="B33" s="1" t="s">
        <v>74</v>
      </c>
      <c r="C33" s="41" t="str">
        <f t="shared" si="1"/>
        <v>Средний</v>
      </c>
      <c r="D33" s="42">
        <f>VLOOKUP(A33,'Задание 2 (Известные данные)'!$A$2:$D$501,2,FALSE)</f>
        <v>289765</v>
      </c>
      <c r="E33" s="43">
        <f>ROUND(D33*VLOOKUP(B33,'Задание 2 (Справочник)'!$B$8:$D$12,2,FALSE)/(1-VLOOKUP(B33,'Задание 2 (Справочник)'!$B$8:$D$12,3,FALSE)),0)</f>
        <v>331160</v>
      </c>
      <c r="F33" s="43">
        <f>VLOOKUP(A33,'Задание 2 (Известные данные)'!$A$2:$D$501,3,FALSE)</f>
        <v>191245</v>
      </c>
      <c r="G33" s="37">
        <f>F33*VLOOKUP(A33,'Задание 2 (Известные данные)'!$A$2:$D$501,4,FALSE)/1000</f>
        <v>22566.91</v>
      </c>
      <c r="H33" s="43">
        <f>ROUND(E33*VLOOKUP(C33,'Задание 2 (Справочник)'!$B$16:$C$18,2,FALSE),0)</f>
        <v>2484</v>
      </c>
      <c r="I33" s="43">
        <f t="shared" si="2"/>
        <v>11308.3</v>
      </c>
    </row>
    <row r="34" ht="13.5" customHeight="1">
      <c r="A34" s="1" t="s">
        <v>140</v>
      </c>
      <c r="B34" s="1" t="s">
        <v>74</v>
      </c>
      <c r="C34" s="41" t="str">
        <f t="shared" si="1"/>
        <v>Средний</v>
      </c>
      <c r="D34" s="42">
        <f>VLOOKUP(A34,'Задание 2 (Известные данные)'!$A$2:$D$501,2,FALSE)</f>
        <v>198543</v>
      </c>
      <c r="E34" s="43">
        <f>ROUND(D34*VLOOKUP(B34,'Задание 2 (Справочник)'!$B$8:$D$12,2,FALSE)/(1-VLOOKUP(B34,'Задание 2 (Справочник)'!$B$8:$D$12,3,FALSE)),0)</f>
        <v>226906</v>
      </c>
      <c r="F34" s="43">
        <f>VLOOKUP(A34,'Задание 2 (Известные данные)'!$A$2:$D$501,3,FALSE)</f>
        <v>131038</v>
      </c>
      <c r="G34" s="37">
        <f>F34*VLOOKUP(A34,'Задание 2 (Известные данные)'!$A$2:$D$501,4,FALSE)/1000</f>
        <v>13234.838</v>
      </c>
      <c r="H34" s="43">
        <f>ROUND(E34*VLOOKUP(C34,'Задание 2 (Справочник)'!$B$16:$C$18,2,FALSE),0)</f>
        <v>1702</v>
      </c>
      <c r="I34" s="43">
        <f t="shared" si="2"/>
        <v>6634.44</v>
      </c>
    </row>
    <row r="35" ht="13.5" customHeight="1">
      <c r="A35" s="1" t="s">
        <v>141</v>
      </c>
      <c r="B35" s="1" t="s">
        <v>74</v>
      </c>
      <c r="C35" s="41" t="str">
        <f t="shared" si="1"/>
        <v>Средний</v>
      </c>
      <c r="D35" s="42">
        <f>VLOOKUP(A35,'Задание 2 (Известные данные)'!$A$2:$D$501,2,FALSE)</f>
        <v>312987</v>
      </c>
      <c r="E35" s="43">
        <f>ROUND(D35*VLOOKUP(B35,'Задание 2 (Справочник)'!$B$8:$D$12,2,FALSE)/(1-VLOOKUP(B35,'Задание 2 (Справочник)'!$B$8:$D$12,3,FALSE)),0)</f>
        <v>357699</v>
      </c>
      <c r="F35" s="43">
        <f>VLOOKUP(A35,'Задание 2 (Известные данные)'!$A$2:$D$501,3,FALSE)</f>
        <v>206572</v>
      </c>
      <c r="G35" s="37">
        <f>F35*VLOOKUP(A35,'Задание 2 (Известные данные)'!$A$2:$D$501,4,FALSE)/1000</f>
        <v>25614.928</v>
      </c>
      <c r="H35" s="43">
        <f>ROUND(E35*VLOOKUP(C35,'Задание 2 (Справочник)'!$B$16:$C$18,2,FALSE),0)</f>
        <v>2683</v>
      </c>
      <c r="I35" s="43">
        <f t="shared" si="2"/>
        <v>12834.29</v>
      </c>
    </row>
    <row r="36" ht="13.5" customHeight="1">
      <c r="A36" s="1" t="s">
        <v>142</v>
      </c>
      <c r="B36" s="1" t="s">
        <v>74</v>
      </c>
      <c r="C36" s="41" t="str">
        <f t="shared" si="1"/>
        <v>Средний</v>
      </c>
      <c r="D36" s="42">
        <f>VLOOKUP(A36,'Задание 2 (Известные данные)'!$A$2:$D$501,2,FALSE)</f>
        <v>134567</v>
      </c>
      <c r="E36" s="43">
        <f>ROUND(D36*VLOOKUP(B36,'Задание 2 (Справочник)'!$B$8:$D$12,2,FALSE)/(1-VLOOKUP(B36,'Задание 2 (Справочник)'!$B$8:$D$12,3,FALSE)),0)</f>
        <v>153791</v>
      </c>
      <c r="F36" s="43">
        <f>VLOOKUP(A36,'Задание 2 (Известные данные)'!$A$2:$D$501,3,FALSE)</f>
        <v>88814</v>
      </c>
      <c r="G36" s="37">
        <f>F36*VLOOKUP(A36,'Задание 2 (Известные данные)'!$A$2:$D$501,4,FALSE)/1000</f>
        <v>8082.074</v>
      </c>
      <c r="H36" s="43">
        <f>ROUND(E36*VLOOKUP(C36,'Задание 2 (Справочник)'!$B$16:$C$18,2,FALSE),0)</f>
        <v>1153</v>
      </c>
      <c r="I36" s="43">
        <f t="shared" si="2"/>
        <v>4052.57</v>
      </c>
    </row>
    <row r="37" ht="13.5" customHeight="1">
      <c r="A37" s="1" t="s">
        <v>143</v>
      </c>
      <c r="B37" s="1" t="s">
        <v>74</v>
      </c>
      <c r="C37" s="41" t="str">
        <f t="shared" si="1"/>
        <v>Средний</v>
      </c>
      <c r="D37" s="42">
        <f>VLOOKUP(A37,'Задание 2 (Известные данные)'!$A$2:$D$501,2,FALSE)</f>
        <v>276543</v>
      </c>
      <c r="E37" s="43">
        <f>ROUND(D37*VLOOKUP(B37,'Задание 2 (Справочник)'!$B$8:$D$12,2,FALSE)/(1-VLOOKUP(B37,'Задание 2 (Справочник)'!$B$8:$D$12,3,FALSE)),0)</f>
        <v>316049</v>
      </c>
      <c r="F37" s="43">
        <f>VLOOKUP(A37,'Задание 2 (Известные данные)'!$A$2:$D$501,3,FALSE)</f>
        <v>182518</v>
      </c>
      <c r="G37" s="37">
        <f>F37*VLOOKUP(A37,'Задание 2 (Известные данные)'!$A$2:$D$501,4,FALSE)/1000</f>
        <v>20989.57</v>
      </c>
      <c r="H37" s="43">
        <f>ROUND(E37*VLOOKUP(C37,'Задание 2 (Справочник)'!$B$16:$C$18,2,FALSE),0)</f>
        <v>2370</v>
      </c>
      <c r="I37" s="43">
        <f t="shared" si="2"/>
        <v>10518.49</v>
      </c>
    </row>
    <row r="38" ht="13.5" customHeight="1">
      <c r="A38" s="1" t="s">
        <v>144</v>
      </c>
      <c r="B38" s="1" t="s">
        <v>74</v>
      </c>
      <c r="C38" s="41" t="str">
        <f t="shared" si="1"/>
        <v>Средний</v>
      </c>
      <c r="D38" s="42">
        <f>VLOOKUP(A38,'Задание 2 (Известные данные)'!$A$2:$D$501,2,FALSE)</f>
        <v>154321</v>
      </c>
      <c r="E38" s="43">
        <f>ROUND(D38*VLOOKUP(B38,'Задание 2 (Справочник)'!$B$8:$D$12,2,FALSE)/(1-VLOOKUP(B38,'Задание 2 (Справочник)'!$B$8:$D$12,3,FALSE)),0)</f>
        <v>176367</v>
      </c>
      <c r="F38" s="43">
        <f>VLOOKUP(A38,'Задание 2 (Известные данные)'!$A$2:$D$501,3,FALSE)</f>
        <v>101852</v>
      </c>
      <c r="G38" s="37">
        <f>F38*VLOOKUP(A38,'Задание 2 (Известные данные)'!$A$2:$D$501,4,FALSE)/1000</f>
        <v>9574.088</v>
      </c>
      <c r="H38" s="43">
        <f>ROUND(E38*VLOOKUP(C38,'Задание 2 (Справочник)'!$B$16:$C$18,2,FALSE),0)</f>
        <v>1323</v>
      </c>
      <c r="I38" s="43">
        <f t="shared" si="2"/>
        <v>4800.27</v>
      </c>
    </row>
    <row r="39" ht="13.5" customHeight="1">
      <c r="A39" s="1" t="s">
        <v>145</v>
      </c>
      <c r="B39" s="1" t="s">
        <v>74</v>
      </c>
      <c r="C39" s="41" t="str">
        <f t="shared" si="1"/>
        <v>Средний</v>
      </c>
      <c r="D39" s="42">
        <f>VLOOKUP(A39,'Задание 2 (Известные данные)'!$A$2:$D$501,2,FALSE)</f>
        <v>298761</v>
      </c>
      <c r="E39" s="43">
        <f>ROUND(D39*VLOOKUP(B39,'Задание 2 (Справочник)'!$B$8:$D$12,2,FALSE)/(1-VLOOKUP(B39,'Задание 2 (Справочник)'!$B$8:$D$12,3,FALSE)),0)</f>
        <v>341441</v>
      </c>
      <c r="F39" s="43">
        <f>VLOOKUP(A39,'Задание 2 (Известные данные)'!$A$2:$D$501,3,FALSE)</f>
        <v>197182</v>
      </c>
      <c r="G39" s="37">
        <f>F39*VLOOKUP(A39,'Задание 2 (Известные данные)'!$A$2:$D$501,4,FALSE)/1000</f>
        <v>23661.84</v>
      </c>
      <c r="H39" s="43">
        <f>ROUND(E39*VLOOKUP(C39,'Задание 2 (Справочник)'!$B$16:$C$18,2,FALSE),0)</f>
        <v>2561</v>
      </c>
      <c r="I39" s="43">
        <f t="shared" si="2"/>
        <v>11856.53</v>
      </c>
    </row>
    <row r="40" ht="13.5" customHeight="1">
      <c r="A40" s="1" t="s">
        <v>146</v>
      </c>
      <c r="B40" s="1" t="s">
        <v>74</v>
      </c>
      <c r="C40" s="41" t="str">
        <f t="shared" si="1"/>
        <v>Средний</v>
      </c>
      <c r="D40" s="42">
        <f>VLOOKUP(A40,'Задание 2 (Известные данные)'!$A$2:$D$501,2,FALSE)</f>
        <v>187654</v>
      </c>
      <c r="E40" s="43">
        <f>ROUND(D40*VLOOKUP(B40,'Задание 2 (Справочник)'!$B$8:$D$12,2,FALSE)/(1-VLOOKUP(B40,'Задание 2 (Справочник)'!$B$8:$D$12,3,FALSE)),0)</f>
        <v>214462</v>
      </c>
      <c r="F40" s="43">
        <f>VLOOKUP(A40,'Задание 2 (Известные данные)'!$A$2:$D$501,3,FALSE)</f>
        <v>123851</v>
      </c>
      <c r="G40" s="37">
        <f>F40*VLOOKUP(A40,'Задание 2 (Известные данные)'!$A$2:$D$501,4,FALSE)/1000</f>
        <v>12261.249</v>
      </c>
      <c r="H40" s="43">
        <f>ROUND(E40*VLOOKUP(C40,'Задание 2 (Справочник)'!$B$16:$C$18,2,FALSE),0)</f>
        <v>1608</v>
      </c>
      <c r="I40" s="43">
        <f t="shared" si="2"/>
        <v>6146.7</v>
      </c>
    </row>
    <row r="41" ht="13.5" customHeight="1">
      <c r="A41" s="1" t="s">
        <v>147</v>
      </c>
      <c r="B41" s="1" t="s">
        <v>74</v>
      </c>
      <c r="C41" s="41" t="str">
        <f t="shared" si="1"/>
        <v>Средний</v>
      </c>
      <c r="D41" s="42">
        <f>VLOOKUP(A41,'Задание 2 (Известные данные)'!$A$2:$D$501,2,FALSE)</f>
        <v>345210</v>
      </c>
      <c r="E41" s="43">
        <f>ROUND(D41*VLOOKUP(B41,'Задание 2 (Справочник)'!$B$8:$D$12,2,FALSE)/(1-VLOOKUP(B41,'Задание 2 (Справочник)'!$B$8:$D$12,3,FALSE)),0)</f>
        <v>394526</v>
      </c>
      <c r="F41" s="43">
        <f>VLOOKUP(A41,'Задание 2 (Известные данные)'!$A$2:$D$501,3,FALSE)</f>
        <v>227839</v>
      </c>
      <c r="G41" s="37">
        <f>F41*VLOOKUP(A41,'Задание 2 (Известные данные)'!$A$2:$D$501,4,FALSE)/1000</f>
        <v>29163.392</v>
      </c>
      <c r="H41" s="43">
        <f>ROUND(E41*VLOOKUP(C41,'Задание 2 (Справочник)'!$B$16:$C$18,2,FALSE),0)</f>
        <v>2959</v>
      </c>
      <c r="I41" s="43">
        <f t="shared" si="2"/>
        <v>14611.29</v>
      </c>
    </row>
    <row r="42" ht="13.5" customHeight="1">
      <c r="A42" s="1" t="s">
        <v>148</v>
      </c>
      <c r="B42" s="1" t="s">
        <v>74</v>
      </c>
      <c r="C42" s="41" t="str">
        <f t="shared" si="1"/>
        <v>Средний</v>
      </c>
      <c r="D42" s="42">
        <f>VLOOKUP(A42,'Задание 2 (Известные данные)'!$A$2:$D$501,2,FALSE)</f>
        <v>165432</v>
      </c>
      <c r="E42" s="43">
        <f>ROUND(D42*VLOOKUP(B42,'Задание 2 (Справочник)'!$B$8:$D$12,2,FALSE)/(1-VLOOKUP(B42,'Задание 2 (Справочник)'!$B$8:$D$12,3,FALSE)),0)</f>
        <v>189065</v>
      </c>
      <c r="F42" s="43">
        <f>VLOOKUP(A42,'Задание 2 (Известные данные)'!$A$2:$D$501,3,FALSE)</f>
        <v>109185</v>
      </c>
      <c r="G42" s="37">
        <f>F42*VLOOKUP(A42,'Задание 2 (Известные данные)'!$A$2:$D$501,4,FALSE)/1000</f>
        <v>10372.575</v>
      </c>
      <c r="H42" s="43">
        <f>ROUND(E42*VLOOKUP(C42,'Задание 2 (Справочник)'!$B$16:$C$18,2,FALSE),0)</f>
        <v>1418</v>
      </c>
      <c r="I42" s="43">
        <f t="shared" si="2"/>
        <v>5200.47</v>
      </c>
    </row>
    <row r="43" ht="13.5" customHeight="1">
      <c r="A43" s="1" t="s">
        <v>149</v>
      </c>
      <c r="B43" s="1" t="s">
        <v>74</v>
      </c>
      <c r="C43" s="41" t="str">
        <f t="shared" si="1"/>
        <v>Средний</v>
      </c>
      <c r="D43" s="42">
        <f>VLOOKUP(A43,'Задание 2 (Известные данные)'!$A$2:$D$501,2,FALSE)</f>
        <v>278901</v>
      </c>
      <c r="E43" s="43">
        <f>ROUND(D43*VLOOKUP(B43,'Задание 2 (Справочник)'!$B$8:$D$12,2,FALSE)/(1-VLOOKUP(B43,'Задание 2 (Справочник)'!$B$8:$D$12,3,FALSE)),0)</f>
        <v>318744</v>
      </c>
      <c r="F43" s="43">
        <f>VLOOKUP(A43,'Задание 2 (Известные данные)'!$A$2:$D$501,3,FALSE)</f>
        <v>184075</v>
      </c>
      <c r="G43" s="37">
        <f>F43*VLOOKUP(A43,'Задание 2 (Известные данные)'!$A$2:$D$501,4,FALSE)/1000</f>
        <v>21352.7</v>
      </c>
      <c r="H43" s="43">
        <f>ROUND(E43*VLOOKUP(C43,'Задание 2 (Справочник)'!$B$16:$C$18,2,FALSE),0)</f>
        <v>2391</v>
      </c>
      <c r="I43" s="43">
        <f t="shared" si="2"/>
        <v>10700.26</v>
      </c>
    </row>
    <row r="44" ht="13.5" customHeight="1">
      <c r="A44" s="1" t="s">
        <v>150</v>
      </c>
      <c r="B44" s="1" t="s">
        <v>74</v>
      </c>
      <c r="C44" s="41" t="str">
        <f t="shared" si="1"/>
        <v>Средний</v>
      </c>
      <c r="D44" s="42">
        <f>VLOOKUP(A44,'Задание 2 (Известные данные)'!$A$2:$D$501,2,FALSE)</f>
        <v>199876</v>
      </c>
      <c r="E44" s="43">
        <f>ROUND(D44*VLOOKUP(B44,'Задание 2 (Справочник)'!$B$8:$D$12,2,FALSE)/(1-VLOOKUP(B44,'Задание 2 (Справочник)'!$B$8:$D$12,3,FALSE)),0)</f>
        <v>228430</v>
      </c>
      <c r="F44" s="43">
        <f>VLOOKUP(A44,'Задание 2 (Известные данные)'!$A$2:$D$501,3,FALSE)</f>
        <v>131918</v>
      </c>
      <c r="G44" s="37">
        <f>F44*VLOOKUP(A44,'Задание 2 (Известные данные)'!$A$2:$D$501,4,FALSE)/1000</f>
        <v>13455.636</v>
      </c>
      <c r="H44" s="43">
        <f>ROUND(E44*VLOOKUP(C44,'Задание 2 (Справочник)'!$B$16:$C$18,2,FALSE),0)</f>
        <v>1713</v>
      </c>
      <c r="I44" s="43">
        <f t="shared" si="2"/>
        <v>6744.95</v>
      </c>
    </row>
    <row r="45" ht="13.5" customHeight="1">
      <c r="A45" s="1" t="s">
        <v>151</v>
      </c>
      <c r="B45" s="1" t="s">
        <v>74</v>
      </c>
      <c r="C45" s="41" t="str">
        <f t="shared" si="1"/>
        <v>Маленький</v>
      </c>
      <c r="D45" s="42">
        <f>VLOOKUP(A45,'Задание 2 (Известные данные)'!$A$2:$D$501,2,FALSE)</f>
        <v>54321</v>
      </c>
      <c r="E45" s="43">
        <f>ROUND(D45*VLOOKUP(B45,'Задание 2 (Справочник)'!$B$8:$D$12,2,FALSE)/(1-VLOOKUP(B45,'Задание 2 (Справочник)'!$B$8:$D$12,3,FALSE)),0)</f>
        <v>62081</v>
      </c>
      <c r="F45" s="43">
        <f>VLOOKUP(A45,'Задание 2 (Известные данные)'!$A$2:$D$501,3,FALSE)</f>
        <v>35852</v>
      </c>
      <c r="G45" s="37">
        <f>F45*VLOOKUP(A45,'Задание 2 (Известные данные)'!$A$2:$D$501,4,FALSE)/1000</f>
        <v>2402.084</v>
      </c>
      <c r="H45" s="43">
        <f>ROUND(E45*VLOOKUP(C45,'Задание 2 (Справочник)'!$B$16:$C$18,2,FALSE),0)</f>
        <v>621</v>
      </c>
      <c r="I45" s="43">
        <f t="shared" si="2"/>
        <v>1207.25</v>
      </c>
    </row>
    <row r="46" ht="13.5" customHeight="1">
      <c r="A46" s="1" t="s">
        <v>152</v>
      </c>
      <c r="B46" s="1" t="s">
        <v>74</v>
      </c>
      <c r="C46" s="41" t="str">
        <f t="shared" si="1"/>
        <v>Маленький</v>
      </c>
      <c r="D46" s="42">
        <f>VLOOKUP(A46,'Задание 2 (Известные данные)'!$A$2:$D$501,2,FALSE)</f>
        <v>87654</v>
      </c>
      <c r="E46" s="43">
        <f>ROUND(D46*VLOOKUP(B46,'Задание 2 (Справочник)'!$B$8:$D$12,2,FALSE)/(1-VLOOKUP(B46,'Задание 2 (Справочник)'!$B$8:$D$12,3,FALSE)),0)</f>
        <v>100176</v>
      </c>
      <c r="F46" s="43">
        <f>VLOOKUP(A46,'Задание 2 (Известные данные)'!$A$2:$D$501,3,FALSE)</f>
        <v>57851</v>
      </c>
      <c r="G46" s="37">
        <f>F46*VLOOKUP(A46,'Задание 2 (Известные данные)'!$A$2:$D$501,4,FALSE)/1000</f>
        <v>4685.931</v>
      </c>
      <c r="H46" s="43">
        <f>ROUND(E46*VLOOKUP(C46,'Задание 2 (Справочник)'!$B$16:$C$18,2,FALSE),0)</f>
        <v>1002</v>
      </c>
      <c r="I46" s="43">
        <f t="shared" si="2"/>
        <v>2352.99</v>
      </c>
    </row>
    <row r="47" ht="13.5" customHeight="1">
      <c r="A47" s="1" t="s">
        <v>153</v>
      </c>
      <c r="B47" s="1" t="s">
        <v>74</v>
      </c>
      <c r="C47" s="41" t="str">
        <f t="shared" si="1"/>
        <v>Маленький</v>
      </c>
      <c r="D47" s="42">
        <f>VLOOKUP(A47,'Задание 2 (Известные данные)'!$A$2:$D$501,2,FALSE)</f>
        <v>23456</v>
      </c>
      <c r="E47" s="43">
        <f>ROUND(D47*VLOOKUP(B47,'Задание 2 (Справочник)'!$B$8:$D$12,2,FALSE)/(1-VLOOKUP(B47,'Задание 2 (Справочник)'!$B$8:$D$12,3,FALSE)),0)</f>
        <v>26807</v>
      </c>
      <c r="F47" s="43">
        <f>VLOOKUP(A47,'Задание 2 (Известные данные)'!$A$2:$D$501,3,FALSE)</f>
        <v>15481</v>
      </c>
      <c r="G47" s="37">
        <f>F47*VLOOKUP(A47,'Задание 2 (Известные данные)'!$A$2:$D$501,4,FALSE)/1000</f>
        <v>835.974</v>
      </c>
      <c r="H47" s="43">
        <f>ROUND(E47*VLOOKUP(C47,'Задание 2 (Справочник)'!$B$16:$C$18,2,FALSE),0)</f>
        <v>268</v>
      </c>
      <c r="I47" s="43">
        <f t="shared" si="2"/>
        <v>420.67</v>
      </c>
    </row>
    <row r="48" ht="13.5" customHeight="1">
      <c r="A48" s="1" t="s">
        <v>154</v>
      </c>
      <c r="B48" s="1" t="s">
        <v>74</v>
      </c>
      <c r="C48" s="41" t="str">
        <f t="shared" si="1"/>
        <v>Маленький</v>
      </c>
      <c r="D48" s="42">
        <f>VLOOKUP(A48,'Задание 2 (Известные данные)'!$A$2:$D$501,2,FALSE)</f>
        <v>98765</v>
      </c>
      <c r="E48" s="43">
        <f>ROUND(D48*VLOOKUP(B48,'Задание 2 (Справочник)'!$B$8:$D$12,2,FALSE)/(1-VLOOKUP(B48,'Задание 2 (Справочник)'!$B$8:$D$12,3,FALSE)),0)</f>
        <v>112874</v>
      </c>
      <c r="F48" s="43">
        <f>VLOOKUP(A48,'Задание 2 (Известные данные)'!$A$2:$D$501,3,FALSE)</f>
        <v>65185</v>
      </c>
      <c r="G48" s="37">
        <f>F48*VLOOKUP(A48,'Задание 2 (Известные данные)'!$A$2:$D$501,4,FALSE)/1000</f>
        <v>5801.465</v>
      </c>
      <c r="H48" s="43">
        <f>ROUND(E48*VLOOKUP(C48,'Задание 2 (Справочник)'!$B$16:$C$18,2,FALSE),0)</f>
        <v>1129</v>
      </c>
      <c r="I48" s="43">
        <f t="shared" si="2"/>
        <v>2912.02</v>
      </c>
    </row>
    <row r="49" ht="13.5" customHeight="1">
      <c r="A49" s="1" t="s">
        <v>155</v>
      </c>
      <c r="B49" s="1" t="s">
        <v>74</v>
      </c>
      <c r="C49" s="41" t="str">
        <f t="shared" si="1"/>
        <v>Маленький</v>
      </c>
      <c r="D49" s="42">
        <f>VLOOKUP(A49,'Задание 2 (Известные данные)'!$A$2:$D$501,2,FALSE)</f>
        <v>34567</v>
      </c>
      <c r="E49" s="43">
        <f>ROUND(D49*VLOOKUP(B49,'Задание 2 (Справочник)'!$B$8:$D$12,2,FALSE)/(1-VLOOKUP(B49,'Задание 2 (Справочник)'!$B$8:$D$12,3,FALSE)),0)</f>
        <v>39505</v>
      </c>
      <c r="F49" s="43">
        <f>VLOOKUP(A49,'Задание 2 (Известные данные)'!$A$2:$D$501,3,FALSE)</f>
        <v>22814</v>
      </c>
      <c r="G49" s="37">
        <f>F49*VLOOKUP(A49,'Задание 2 (Известные данные)'!$A$2:$D$501,4,FALSE)/1000</f>
        <v>1414.468</v>
      </c>
      <c r="H49" s="43">
        <f>ROUND(E49*VLOOKUP(C49,'Задание 2 (Справочник)'!$B$16:$C$18,2,FALSE),0)</f>
        <v>395</v>
      </c>
      <c r="I49" s="43">
        <f t="shared" si="2"/>
        <v>711.18</v>
      </c>
    </row>
    <row r="50" ht="13.5" customHeight="1">
      <c r="A50" s="1" t="s">
        <v>156</v>
      </c>
      <c r="B50" s="1" t="s">
        <v>74</v>
      </c>
      <c r="C50" s="41" t="str">
        <f t="shared" si="1"/>
        <v>Маленький</v>
      </c>
      <c r="D50" s="42">
        <f>VLOOKUP(A50,'Задание 2 (Известные данные)'!$A$2:$D$501,2,FALSE)</f>
        <v>65432</v>
      </c>
      <c r="E50" s="43">
        <f>ROUND(D50*VLOOKUP(B50,'Задание 2 (Справочник)'!$B$8:$D$12,2,FALSE)/(1-VLOOKUP(B50,'Задание 2 (Справочник)'!$B$8:$D$12,3,FALSE)),0)</f>
        <v>74779</v>
      </c>
      <c r="F50" s="43">
        <f>VLOOKUP(A50,'Задание 2 (Известные данные)'!$A$2:$D$501,3,FALSE)</f>
        <v>43185</v>
      </c>
      <c r="G50" s="37">
        <f>F50*VLOOKUP(A50,'Задание 2 (Известные данные)'!$A$2:$D$501,4,FALSE)/1000</f>
        <v>3195.69</v>
      </c>
      <c r="H50" s="43">
        <f>ROUND(E50*VLOOKUP(C50,'Задание 2 (Справочник)'!$B$16:$C$18,2,FALSE),0)</f>
        <v>748</v>
      </c>
      <c r="I50" s="43">
        <f t="shared" si="2"/>
        <v>1605.33</v>
      </c>
    </row>
    <row r="51" ht="13.5" customHeight="1">
      <c r="A51" s="1" t="s">
        <v>157</v>
      </c>
      <c r="B51" s="1" t="s">
        <v>74</v>
      </c>
      <c r="C51" s="41" t="str">
        <f t="shared" si="1"/>
        <v>Маленький</v>
      </c>
      <c r="D51" s="42">
        <f>VLOOKUP(A51,'Задание 2 (Известные данные)'!$A$2:$D$501,2,FALSE)</f>
        <v>12345</v>
      </c>
      <c r="E51" s="43">
        <f>ROUND(D51*VLOOKUP(B51,'Задание 2 (Справочник)'!$B$8:$D$12,2,FALSE)/(1-VLOOKUP(B51,'Задание 2 (Справочник)'!$B$8:$D$12,3,FALSE)),0)</f>
        <v>14109</v>
      </c>
      <c r="F51" s="43">
        <f>VLOOKUP(A51,'Задание 2 (Известные данные)'!$A$2:$D$501,3,FALSE)</f>
        <v>8148</v>
      </c>
      <c r="G51" s="37">
        <f>F51*VLOOKUP(A51,'Задание 2 (Известные данные)'!$A$2:$D$501,4,FALSE)/1000</f>
        <v>391.104</v>
      </c>
      <c r="H51" s="43">
        <f>ROUND(E51*VLOOKUP(C51,'Задание 2 (Справочник)'!$B$16:$C$18,2,FALSE),0)</f>
        <v>141</v>
      </c>
      <c r="I51" s="43">
        <f t="shared" si="2"/>
        <v>196.96</v>
      </c>
    </row>
    <row r="52" ht="13.5" customHeight="1">
      <c r="A52" s="1" t="s">
        <v>158</v>
      </c>
      <c r="B52" s="1" t="s">
        <v>74</v>
      </c>
      <c r="C52" s="41" t="str">
        <f t="shared" si="1"/>
        <v>Маленький</v>
      </c>
      <c r="D52" s="42">
        <f>VLOOKUP(A52,'Задание 2 (Известные данные)'!$A$2:$D$501,2,FALSE)</f>
        <v>76543</v>
      </c>
      <c r="E52" s="43">
        <f>ROUND(D52*VLOOKUP(B52,'Задание 2 (Справочник)'!$B$8:$D$12,2,FALSE)/(1-VLOOKUP(B52,'Задание 2 (Справочник)'!$B$8:$D$12,3,FALSE)),0)</f>
        <v>87478</v>
      </c>
      <c r="F52" s="43">
        <f>VLOOKUP(A52,'Задание 2 (Известные данные)'!$A$2:$D$501,3,FALSE)</f>
        <v>50518</v>
      </c>
      <c r="G52" s="37">
        <f>F52*VLOOKUP(A52,'Задание 2 (Известные данные)'!$A$2:$D$501,4,FALSE)/1000</f>
        <v>3940.404</v>
      </c>
      <c r="H52" s="43">
        <f>ROUND(E52*VLOOKUP(C52,'Задание 2 (Справочник)'!$B$16:$C$18,2,FALSE),0)</f>
        <v>875</v>
      </c>
      <c r="I52" s="43">
        <f t="shared" si="2"/>
        <v>1978.95</v>
      </c>
    </row>
    <row r="53" ht="13.5" customHeight="1">
      <c r="A53" s="1" t="s">
        <v>159</v>
      </c>
      <c r="B53" s="1" t="s">
        <v>74</v>
      </c>
      <c r="C53" s="41" t="str">
        <f t="shared" si="1"/>
        <v>Маленький</v>
      </c>
      <c r="D53" s="42">
        <f>VLOOKUP(A53,'Задание 2 (Известные данные)'!$A$2:$D$501,2,FALSE)</f>
        <v>43210</v>
      </c>
      <c r="E53" s="43">
        <f>ROUND(D53*VLOOKUP(B53,'Задание 2 (Справочник)'!$B$8:$D$12,2,FALSE)/(1-VLOOKUP(B53,'Задание 2 (Справочник)'!$B$8:$D$12,3,FALSE)),0)</f>
        <v>49383</v>
      </c>
      <c r="F53" s="43">
        <f>VLOOKUP(A53,'Задание 2 (Известные данные)'!$A$2:$D$501,3,FALSE)</f>
        <v>28519</v>
      </c>
      <c r="G53" s="37">
        <f>F53*VLOOKUP(A53,'Задание 2 (Известные данные)'!$A$2:$D$501,4,FALSE)/1000</f>
        <v>1682.621</v>
      </c>
      <c r="H53" s="43">
        <f>ROUND(E53*VLOOKUP(C53,'Задание 2 (Справочник)'!$B$16:$C$18,2,FALSE),0)</f>
        <v>494</v>
      </c>
      <c r="I53" s="43">
        <f t="shared" si="2"/>
        <v>846.25</v>
      </c>
    </row>
    <row r="54" ht="13.5" customHeight="1">
      <c r="A54" s="1" t="s">
        <v>160</v>
      </c>
      <c r="B54" s="1" t="s">
        <v>74</v>
      </c>
      <c r="C54" s="41" t="str">
        <f t="shared" si="1"/>
        <v>Маленький</v>
      </c>
      <c r="D54" s="42">
        <f>VLOOKUP(A54,'Задание 2 (Известные данные)'!$A$2:$D$501,2,FALSE)</f>
        <v>56789</v>
      </c>
      <c r="E54" s="43">
        <f>ROUND(D54*VLOOKUP(B54,'Задание 2 (Справочник)'!$B$8:$D$12,2,FALSE)/(1-VLOOKUP(B54,'Задание 2 (Справочник)'!$B$8:$D$12,3,FALSE)),0)</f>
        <v>64902</v>
      </c>
      <c r="F54" s="43">
        <f>VLOOKUP(A54,'Задание 2 (Известные данные)'!$A$2:$D$501,3,FALSE)</f>
        <v>37481</v>
      </c>
      <c r="G54" s="37">
        <f>F54*VLOOKUP(A54,'Задание 2 (Известные данные)'!$A$2:$D$501,4,FALSE)/1000</f>
        <v>2661.151</v>
      </c>
      <c r="H54" s="43">
        <f>ROUND(E54*VLOOKUP(C54,'Задание 2 (Справочник)'!$B$16:$C$18,2,FALSE),0)</f>
        <v>649</v>
      </c>
      <c r="I54" s="43">
        <f t="shared" si="2"/>
        <v>1337.07</v>
      </c>
    </row>
    <row r="55" ht="13.5" customHeight="1">
      <c r="A55" s="1" t="s">
        <v>161</v>
      </c>
      <c r="B55" s="1" t="s">
        <v>74</v>
      </c>
      <c r="C55" s="41" t="str">
        <f t="shared" si="1"/>
        <v>Маленький</v>
      </c>
      <c r="D55" s="42">
        <f>VLOOKUP(A55,'Задание 2 (Известные данные)'!$A$2:$D$501,2,FALSE)</f>
        <v>87654</v>
      </c>
      <c r="E55" s="43">
        <f>ROUND(D55*VLOOKUP(B55,'Задание 2 (Справочник)'!$B$8:$D$12,2,FALSE)/(1-VLOOKUP(B55,'Задание 2 (Справочник)'!$B$8:$D$12,3,FALSE)),0)</f>
        <v>100176</v>
      </c>
      <c r="F55" s="43">
        <f>VLOOKUP(A55,'Задание 2 (Известные данные)'!$A$2:$D$501,3,FALSE)</f>
        <v>57851</v>
      </c>
      <c r="G55" s="37">
        <f>F55*VLOOKUP(A55,'Задание 2 (Известные данные)'!$A$2:$D$501,4,FALSE)/1000</f>
        <v>4743.782</v>
      </c>
      <c r="H55" s="43">
        <f>ROUND(E55*VLOOKUP(C55,'Задание 2 (Справочник)'!$B$16:$C$18,2,FALSE),0)</f>
        <v>1002</v>
      </c>
      <c r="I55" s="43">
        <f t="shared" si="2"/>
        <v>2381.91</v>
      </c>
    </row>
    <row r="56" ht="13.5" customHeight="1">
      <c r="A56" s="1" t="s">
        <v>162</v>
      </c>
      <c r="B56" s="1" t="s">
        <v>74</v>
      </c>
      <c r="C56" s="41" t="str">
        <f t="shared" si="1"/>
        <v>Маленький</v>
      </c>
      <c r="D56" s="42">
        <f>VLOOKUP(A56,'Задание 2 (Известные данные)'!$A$2:$D$501,2,FALSE)</f>
        <v>23456</v>
      </c>
      <c r="E56" s="43">
        <f>ROUND(D56*VLOOKUP(B56,'Задание 2 (Справочник)'!$B$8:$D$12,2,FALSE)/(1-VLOOKUP(B56,'Задание 2 (Справочник)'!$B$8:$D$12,3,FALSE)),0)</f>
        <v>26807</v>
      </c>
      <c r="F56" s="43">
        <f>VLOOKUP(A56,'Задание 2 (Известные данные)'!$A$2:$D$501,3,FALSE)</f>
        <v>15481</v>
      </c>
      <c r="G56" s="37">
        <f>F56*VLOOKUP(A56,'Задание 2 (Известные данные)'!$A$2:$D$501,4,FALSE)/1000</f>
        <v>820.493</v>
      </c>
      <c r="H56" s="43">
        <f>ROUND(E56*VLOOKUP(C56,'Задание 2 (Справочник)'!$B$16:$C$18,2,FALSE),0)</f>
        <v>268</v>
      </c>
      <c r="I56" s="43">
        <f t="shared" si="2"/>
        <v>412.93</v>
      </c>
    </row>
    <row r="57" ht="13.5" customHeight="1">
      <c r="A57" s="1" t="s">
        <v>163</v>
      </c>
      <c r="B57" s="1" t="s">
        <v>74</v>
      </c>
      <c r="C57" s="41" t="str">
        <f t="shared" si="1"/>
        <v>Маленький</v>
      </c>
      <c r="D57" s="42">
        <f>VLOOKUP(A57,'Задание 2 (Известные данные)'!$A$2:$D$501,2,FALSE)</f>
        <v>98765</v>
      </c>
      <c r="E57" s="43">
        <f>ROUND(D57*VLOOKUP(B57,'Задание 2 (Справочник)'!$B$8:$D$12,2,FALSE)/(1-VLOOKUP(B57,'Задание 2 (Справочник)'!$B$8:$D$12,3,FALSE)),0)</f>
        <v>112874</v>
      </c>
      <c r="F57" s="43">
        <f>VLOOKUP(A57,'Задание 2 (Известные данные)'!$A$2:$D$501,3,FALSE)</f>
        <v>65185</v>
      </c>
      <c r="G57" s="37">
        <f>F57*VLOOKUP(A57,'Задание 2 (Известные данные)'!$A$2:$D$501,4,FALSE)/1000</f>
        <v>5671.095</v>
      </c>
      <c r="H57" s="43">
        <f>ROUND(E57*VLOOKUP(C57,'Задание 2 (Справочник)'!$B$16:$C$18,2,FALSE),0)</f>
        <v>1129</v>
      </c>
      <c r="I57" s="43">
        <f t="shared" si="2"/>
        <v>2846.84</v>
      </c>
    </row>
    <row r="58" ht="13.5" customHeight="1">
      <c r="A58" s="1" t="s">
        <v>164</v>
      </c>
      <c r="B58" s="1" t="s">
        <v>74</v>
      </c>
      <c r="C58" s="41" t="str">
        <f t="shared" si="1"/>
        <v>Маленький</v>
      </c>
      <c r="D58" s="42">
        <f>VLOOKUP(A58,'Задание 2 (Известные данные)'!$A$2:$D$501,2,FALSE)</f>
        <v>34567</v>
      </c>
      <c r="E58" s="43">
        <f>ROUND(D58*VLOOKUP(B58,'Задание 2 (Справочник)'!$B$8:$D$12,2,FALSE)/(1-VLOOKUP(B58,'Задание 2 (Справочник)'!$B$8:$D$12,3,FALSE)),0)</f>
        <v>39505</v>
      </c>
      <c r="F58" s="43">
        <f>VLOOKUP(A58,'Задание 2 (Известные данные)'!$A$2:$D$501,3,FALSE)</f>
        <v>22814</v>
      </c>
      <c r="G58" s="37">
        <f>F58*VLOOKUP(A58,'Задание 2 (Известные данные)'!$A$2:$D$501,4,FALSE)/1000</f>
        <v>1437.282</v>
      </c>
      <c r="H58" s="43">
        <f>ROUND(E58*VLOOKUP(C58,'Задание 2 (Справочник)'!$B$16:$C$18,2,FALSE),0)</f>
        <v>395</v>
      </c>
      <c r="I58" s="43">
        <f t="shared" si="2"/>
        <v>722.59</v>
      </c>
    </row>
    <row r="59" ht="13.5" customHeight="1">
      <c r="A59" s="1" t="s">
        <v>165</v>
      </c>
      <c r="B59" s="1" t="s">
        <v>74</v>
      </c>
      <c r="C59" s="41" t="str">
        <f t="shared" si="1"/>
        <v>Маленький</v>
      </c>
      <c r="D59" s="42">
        <f>VLOOKUP(A59,'Задание 2 (Известные данные)'!$A$2:$D$501,2,FALSE)</f>
        <v>65432</v>
      </c>
      <c r="E59" s="43">
        <f>ROUND(D59*VLOOKUP(B59,'Задание 2 (Справочник)'!$B$8:$D$12,2,FALSE)/(1-VLOOKUP(B59,'Задание 2 (Справочник)'!$B$8:$D$12,3,FALSE)),0)</f>
        <v>74779</v>
      </c>
      <c r="F59" s="43">
        <f>VLOOKUP(A59,'Задание 2 (Известные данные)'!$A$2:$D$501,3,FALSE)</f>
        <v>43185</v>
      </c>
      <c r="G59" s="37">
        <f>F59*VLOOKUP(A59,'Задание 2 (Известные данные)'!$A$2:$D$501,4,FALSE)/1000</f>
        <v>3238.875</v>
      </c>
      <c r="H59" s="43">
        <f>ROUND(E59*VLOOKUP(C59,'Задание 2 (Справочник)'!$B$16:$C$18,2,FALSE),0)</f>
        <v>748</v>
      </c>
      <c r="I59" s="43">
        <f t="shared" si="2"/>
        <v>1626.92</v>
      </c>
    </row>
    <row r="60" ht="13.5" customHeight="1">
      <c r="A60" s="1" t="s">
        <v>166</v>
      </c>
      <c r="B60" s="1" t="s">
        <v>74</v>
      </c>
      <c r="C60" s="41" t="str">
        <f t="shared" si="1"/>
        <v>Маленький</v>
      </c>
      <c r="D60" s="42">
        <f>VLOOKUP(A60,'Задание 2 (Известные данные)'!$A$2:$D$501,2,FALSE)</f>
        <v>12345</v>
      </c>
      <c r="E60" s="43">
        <f>ROUND(D60*VLOOKUP(B60,'Задание 2 (Справочник)'!$B$8:$D$12,2,FALSE)/(1-VLOOKUP(B60,'Задание 2 (Справочник)'!$B$8:$D$12,3,FALSE)),0)</f>
        <v>14109</v>
      </c>
      <c r="F60" s="43">
        <f>VLOOKUP(A60,'Задание 2 (Известные данные)'!$A$2:$D$501,3,FALSE)</f>
        <v>8148</v>
      </c>
      <c r="G60" s="37">
        <f>F60*VLOOKUP(A60,'Задание 2 (Известные данные)'!$A$2:$D$501,4,FALSE)/1000</f>
        <v>399.252</v>
      </c>
      <c r="H60" s="43">
        <f>ROUND(E60*VLOOKUP(C60,'Задание 2 (Справочник)'!$B$16:$C$18,2,FALSE),0)</f>
        <v>141</v>
      </c>
      <c r="I60" s="43">
        <f t="shared" si="2"/>
        <v>201.04</v>
      </c>
    </row>
    <row r="61" ht="13.5" customHeight="1">
      <c r="A61" s="1" t="s">
        <v>167</v>
      </c>
      <c r="B61" s="1" t="s">
        <v>74</v>
      </c>
      <c r="C61" s="41" t="str">
        <f t="shared" si="1"/>
        <v>Маленький</v>
      </c>
      <c r="D61" s="42">
        <f>VLOOKUP(A61,'Задание 2 (Известные данные)'!$A$2:$D$501,2,FALSE)</f>
        <v>76543</v>
      </c>
      <c r="E61" s="43">
        <f>ROUND(D61*VLOOKUP(B61,'Задание 2 (Справочник)'!$B$8:$D$12,2,FALSE)/(1-VLOOKUP(B61,'Задание 2 (Справочник)'!$B$8:$D$12,3,FALSE)),0)</f>
        <v>87478</v>
      </c>
      <c r="F61" s="43">
        <f>VLOOKUP(A61,'Задание 2 (Известные данные)'!$A$2:$D$501,3,FALSE)</f>
        <v>50518</v>
      </c>
      <c r="G61" s="37">
        <f>F61*VLOOKUP(A61,'Задание 2 (Известные данные)'!$A$2:$D$501,4,FALSE)/1000</f>
        <v>3990.922</v>
      </c>
      <c r="H61" s="43">
        <f>ROUND(E61*VLOOKUP(C61,'Задание 2 (Справочник)'!$B$16:$C$18,2,FALSE),0)</f>
        <v>875</v>
      </c>
      <c r="I61" s="43">
        <f t="shared" si="2"/>
        <v>2004.21</v>
      </c>
    </row>
    <row r="62" ht="13.5" customHeight="1">
      <c r="A62" s="1" t="s">
        <v>168</v>
      </c>
      <c r="B62" s="1" t="s">
        <v>74</v>
      </c>
      <c r="C62" s="41" t="str">
        <f t="shared" si="1"/>
        <v>Маленький</v>
      </c>
      <c r="D62" s="42">
        <f>VLOOKUP(A62,'Задание 2 (Известные данные)'!$A$2:$D$501,2,FALSE)</f>
        <v>43210</v>
      </c>
      <c r="E62" s="43">
        <f>ROUND(D62*VLOOKUP(B62,'Задание 2 (Справочник)'!$B$8:$D$12,2,FALSE)/(1-VLOOKUP(B62,'Задание 2 (Справочник)'!$B$8:$D$12,3,FALSE)),0)</f>
        <v>49383</v>
      </c>
      <c r="F62" s="43">
        <f>VLOOKUP(A62,'Задание 2 (Известные данные)'!$A$2:$D$501,3,FALSE)</f>
        <v>28519</v>
      </c>
      <c r="G62" s="37">
        <f>F62*VLOOKUP(A62,'Задание 2 (Известные данные)'!$A$2:$D$501,4,FALSE)/1000</f>
        <v>1654.102</v>
      </c>
      <c r="H62" s="43">
        <f>ROUND(E62*VLOOKUP(C62,'Задание 2 (Справочник)'!$B$16:$C$18,2,FALSE),0)</f>
        <v>494</v>
      </c>
      <c r="I62" s="43">
        <f t="shared" si="2"/>
        <v>831.99</v>
      </c>
    </row>
    <row r="63" ht="13.5" customHeight="1">
      <c r="A63" s="1" t="s">
        <v>169</v>
      </c>
      <c r="B63" s="1" t="s">
        <v>74</v>
      </c>
      <c r="C63" s="41" t="str">
        <f t="shared" si="1"/>
        <v>Маленький</v>
      </c>
      <c r="D63" s="42">
        <f>VLOOKUP(A63,'Задание 2 (Известные данные)'!$A$2:$D$501,2,FALSE)</f>
        <v>56789</v>
      </c>
      <c r="E63" s="43">
        <f>ROUND(D63*VLOOKUP(B63,'Задание 2 (Справочник)'!$B$8:$D$12,2,FALSE)/(1-VLOOKUP(B63,'Задание 2 (Справочник)'!$B$8:$D$12,3,FALSE)),0)</f>
        <v>64902</v>
      </c>
      <c r="F63" s="43">
        <f>VLOOKUP(A63,'Задание 2 (Известные данные)'!$A$2:$D$501,3,FALSE)</f>
        <v>37481</v>
      </c>
      <c r="G63" s="37">
        <f>F63*VLOOKUP(A63,'Задание 2 (Известные данные)'!$A$2:$D$501,4,FALSE)/1000</f>
        <v>2623.67</v>
      </c>
      <c r="H63" s="43">
        <f>ROUND(E63*VLOOKUP(C63,'Задание 2 (Справочник)'!$B$16:$C$18,2,FALSE),0)</f>
        <v>649</v>
      </c>
      <c r="I63" s="43">
        <f t="shared" si="2"/>
        <v>1318.33</v>
      </c>
    </row>
    <row r="64" ht="13.5" customHeight="1">
      <c r="A64" s="1" t="s">
        <v>170</v>
      </c>
      <c r="B64" s="1" t="s">
        <v>74</v>
      </c>
      <c r="C64" s="41" t="str">
        <f t="shared" si="1"/>
        <v>Маленький</v>
      </c>
      <c r="D64" s="42">
        <f>VLOOKUP(A64,'Задание 2 (Известные данные)'!$A$2:$D$501,2,FALSE)</f>
        <v>87654</v>
      </c>
      <c r="E64" s="43">
        <f>ROUND(D64*VLOOKUP(B64,'Задание 2 (Справочник)'!$B$8:$D$12,2,FALSE)/(1-VLOOKUP(B64,'Задание 2 (Справочник)'!$B$8:$D$12,3,FALSE)),0)</f>
        <v>100176</v>
      </c>
      <c r="F64" s="43">
        <f>VLOOKUP(A64,'Задание 2 (Известные данные)'!$A$2:$D$501,3,FALSE)</f>
        <v>57851</v>
      </c>
      <c r="G64" s="37">
        <f>F64*VLOOKUP(A64,'Задание 2 (Известные данные)'!$A$2:$D$501,4,FALSE)/1000</f>
        <v>4801.633</v>
      </c>
      <c r="H64" s="43">
        <f>ROUND(E64*VLOOKUP(C64,'Задание 2 (Справочник)'!$B$16:$C$18,2,FALSE),0)</f>
        <v>1002</v>
      </c>
      <c r="I64" s="43">
        <f t="shared" si="2"/>
        <v>2410.84</v>
      </c>
    </row>
    <row r="65" ht="13.5" customHeight="1">
      <c r="A65" s="1" t="s">
        <v>171</v>
      </c>
      <c r="B65" s="1" t="s">
        <v>74</v>
      </c>
      <c r="C65" s="41" t="str">
        <f t="shared" si="1"/>
        <v>Маленький</v>
      </c>
      <c r="D65" s="42">
        <f>VLOOKUP(A65,'Задание 2 (Известные данные)'!$A$2:$D$501,2,FALSE)</f>
        <v>23456</v>
      </c>
      <c r="E65" s="43">
        <f>ROUND(D65*VLOOKUP(B65,'Задание 2 (Справочник)'!$B$8:$D$12,2,FALSE)/(1-VLOOKUP(B65,'Задание 2 (Справочник)'!$B$8:$D$12,3,FALSE)),0)</f>
        <v>26807</v>
      </c>
      <c r="F65" s="43">
        <f>VLOOKUP(A65,'Задание 2 (Известные данные)'!$A$2:$D$501,3,FALSE)</f>
        <v>15481</v>
      </c>
      <c r="G65" s="37">
        <f>F65*VLOOKUP(A65,'Задание 2 (Известные данные)'!$A$2:$D$501,4,FALSE)/1000</f>
        <v>805.012</v>
      </c>
      <c r="H65" s="43">
        <f>ROUND(E65*VLOOKUP(C65,'Задание 2 (Справочник)'!$B$16:$C$18,2,FALSE),0)</f>
        <v>268</v>
      </c>
      <c r="I65" s="43">
        <f t="shared" si="2"/>
        <v>405.19</v>
      </c>
    </row>
    <row r="66" ht="13.5" customHeight="1">
      <c r="A66" s="1" t="s">
        <v>172</v>
      </c>
      <c r="B66" s="1" t="s">
        <v>74</v>
      </c>
      <c r="C66" s="41" t="str">
        <f t="shared" si="1"/>
        <v>Маленький</v>
      </c>
      <c r="D66" s="42">
        <f>VLOOKUP(A66,'Задание 2 (Известные данные)'!$A$2:$D$501,2,FALSE)</f>
        <v>98765</v>
      </c>
      <c r="E66" s="43">
        <f>ROUND(D66*VLOOKUP(B66,'Задание 2 (Справочник)'!$B$8:$D$12,2,FALSE)/(1-VLOOKUP(B66,'Задание 2 (Справочник)'!$B$8:$D$12,3,FALSE)),0)</f>
        <v>112874</v>
      </c>
      <c r="F66" s="43">
        <f>VLOOKUP(A66,'Задание 2 (Известные данные)'!$A$2:$D$501,3,FALSE)</f>
        <v>65185</v>
      </c>
      <c r="G66" s="37">
        <f>F66*VLOOKUP(A66,'Задание 2 (Известные данные)'!$A$2:$D$501,4,FALSE)/1000</f>
        <v>5605.91</v>
      </c>
      <c r="H66" s="43">
        <f>ROUND(E66*VLOOKUP(C66,'Задание 2 (Справочник)'!$B$16:$C$18,2,FALSE),0)</f>
        <v>1129</v>
      </c>
      <c r="I66" s="43">
        <f t="shared" si="2"/>
        <v>2814.25</v>
      </c>
    </row>
    <row r="67" ht="13.5" customHeight="1">
      <c r="A67" s="1" t="s">
        <v>173</v>
      </c>
      <c r="B67" s="1" t="s">
        <v>74</v>
      </c>
      <c r="C67" s="41" t="str">
        <f t="shared" si="1"/>
        <v>Маленький</v>
      </c>
      <c r="D67" s="42">
        <f>VLOOKUP(A67,'Задание 2 (Известные данные)'!$A$2:$D$501,2,FALSE)</f>
        <v>34567</v>
      </c>
      <c r="E67" s="43">
        <f>ROUND(D67*VLOOKUP(B67,'Задание 2 (Справочник)'!$B$8:$D$12,2,FALSE)/(1-VLOOKUP(B67,'Задание 2 (Справочник)'!$B$8:$D$12,3,FALSE)),0)</f>
        <v>39505</v>
      </c>
      <c r="F67" s="43">
        <f>VLOOKUP(A67,'Задание 2 (Известные данные)'!$A$2:$D$501,3,FALSE)</f>
        <v>22814</v>
      </c>
      <c r="G67" s="37">
        <f>F67*VLOOKUP(A67,'Задание 2 (Известные данные)'!$A$2:$D$501,4,FALSE)/1000</f>
        <v>1460.096</v>
      </c>
      <c r="H67" s="43">
        <f>ROUND(E67*VLOOKUP(C67,'Задание 2 (Справочник)'!$B$16:$C$18,2,FALSE),0)</f>
        <v>395</v>
      </c>
      <c r="I67" s="43">
        <f t="shared" si="2"/>
        <v>734</v>
      </c>
    </row>
    <row r="68" ht="13.5" customHeight="1">
      <c r="A68" s="1" t="s">
        <v>174</v>
      </c>
      <c r="B68" s="1" t="s">
        <v>74</v>
      </c>
      <c r="C68" s="41" t="str">
        <f t="shared" si="1"/>
        <v>Маленький</v>
      </c>
      <c r="D68" s="42">
        <f>VLOOKUP(A68,'Задание 2 (Известные данные)'!$A$2:$D$501,2,FALSE)</f>
        <v>65432</v>
      </c>
      <c r="E68" s="43">
        <f>ROUND(D68*VLOOKUP(B68,'Задание 2 (Справочник)'!$B$8:$D$12,2,FALSE)/(1-VLOOKUP(B68,'Задание 2 (Справочник)'!$B$8:$D$12,3,FALSE)),0)</f>
        <v>74779</v>
      </c>
      <c r="F68" s="43">
        <f>VLOOKUP(A68,'Задание 2 (Известные данные)'!$A$2:$D$501,3,FALSE)</f>
        <v>43185</v>
      </c>
      <c r="G68" s="37">
        <f>F68*VLOOKUP(A68,'Задание 2 (Известные данные)'!$A$2:$D$501,4,FALSE)/1000</f>
        <v>3282.06</v>
      </c>
      <c r="H68" s="43">
        <f>ROUND(E68*VLOOKUP(C68,'Задание 2 (Справочник)'!$B$16:$C$18,2,FALSE),0)</f>
        <v>748</v>
      </c>
      <c r="I68" s="43">
        <f t="shared" si="2"/>
        <v>1648.51</v>
      </c>
    </row>
    <row r="69" ht="13.5" customHeight="1">
      <c r="A69" s="1" t="s">
        <v>175</v>
      </c>
      <c r="B69" s="1" t="s">
        <v>74</v>
      </c>
      <c r="C69" s="41" t="str">
        <f t="shared" si="1"/>
        <v>Маленький</v>
      </c>
      <c r="D69" s="42">
        <f>VLOOKUP(A69,'Задание 2 (Известные данные)'!$A$2:$D$501,2,FALSE)</f>
        <v>12345</v>
      </c>
      <c r="E69" s="43">
        <f>ROUND(D69*VLOOKUP(B69,'Задание 2 (Справочник)'!$B$8:$D$12,2,FALSE)/(1-VLOOKUP(B69,'Задание 2 (Справочник)'!$B$8:$D$12,3,FALSE)),0)</f>
        <v>14109</v>
      </c>
      <c r="F69" s="43">
        <f>VLOOKUP(A69,'Задание 2 (Известные данные)'!$A$2:$D$501,3,FALSE)</f>
        <v>8148</v>
      </c>
      <c r="G69" s="37">
        <f>F69*VLOOKUP(A69,'Задание 2 (Известные данные)'!$A$2:$D$501,4,FALSE)/1000</f>
        <v>382.956</v>
      </c>
      <c r="H69" s="43">
        <f>ROUND(E69*VLOOKUP(C69,'Задание 2 (Справочник)'!$B$16:$C$18,2,FALSE),0)</f>
        <v>141</v>
      </c>
      <c r="I69" s="43">
        <f t="shared" si="2"/>
        <v>192.89</v>
      </c>
    </row>
    <row r="70" ht="13.5" customHeight="1">
      <c r="A70" s="1" t="s">
        <v>176</v>
      </c>
      <c r="B70" s="1" t="s">
        <v>74</v>
      </c>
      <c r="C70" s="41" t="str">
        <f t="shared" si="1"/>
        <v>Маленький</v>
      </c>
      <c r="D70" s="42">
        <f>VLOOKUP(A70,'Задание 2 (Известные данные)'!$A$2:$D$501,2,FALSE)</f>
        <v>76543</v>
      </c>
      <c r="E70" s="43">
        <f>ROUND(D70*VLOOKUP(B70,'Задание 2 (Справочник)'!$B$8:$D$12,2,FALSE)/(1-VLOOKUP(B70,'Задание 2 (Справочник)'!$B$8:$D$12,3,FALSE)),0)</f>
        <v>87478</v>
      </c>
      <c r="F70" s="43">
        <f>VLOOKUP(A70,'Задание 2 (Известные данные)'!$A$2:$D$501,3,FALSE)</f>
        <v>50518</v>
      </c>
      <c r="G70" s="37">
        <f>F70*VLOOKUP(A70,'Задание 2 (Известные данные)'!$A$2:$D$501,4,FALSE)/1000</f>
        <v>3889.886</v>
      </c>
      <c r="H70" s="43">
        <f>ROUND(E70*VLOOKUP(C70,'Задание 2 (Справочник)'!$B$16:$C$18,2,FALSE),0)</f>
        <v>875</v>
      </c>
      <c r="I70" s="43">
        <f t="shared" si="2"/>
        <v>1953.69</v>
      </c>
    </row>
    <row r="71" ht="13.5" customHeight="1">
      <c r="A71" s="1" t="s">
        <v>177</v>
      </c>
      <c r="B71" s="1" t="s">
        <v>74</v>
      </c>
      <c r="C71" s="41" t="str">
        <f t="shared" si="1"/>
        <v>Маленький</v>
      </c>
      <c r="D71" s="42">
        <f>VLOOKUP(A71,'Задание 2 (Известные данные)'!$A$2:$D$501,2,FALSE)</f>
        <v>43210</v>
      </c>
      <c r="E71" s="43">
        <f>ROUND(D71*VLOOKUP(B71,'Задание 2 (Справочник)'!$B$8:$D$12,2,FALSE)/(1-VLOOKUP(B71,'Задание 2 (Справочник)'!$B$8:$D$12,3,FALSE)),0)</f>
        <v>49383</v>
      </c>
      <c r="F71" s="43">
        <f>VLOOKUP(A71,'Задание 2 (Известные данные)'!$A$2:$D$501,3,FALSE)</f>
        <v>28519</v>
      </c>
      <c r="G71" s="37">
        <f>F71*VLOOKUP(A71,'Задание 2 (Известные данные)'!$A$2:$D$501,4,FALSE)/1000</f>
        <v>1625.583</v>
      </c>
      <c r="H71" s="43">
        <f>ROUND(E71*VLOOKUP(C71,'Задание 2 (Справочник)'!$B$16:$C$18,2,FALSE),0)</f>
        <v>494</v>
      </c>
      <c r="I71" s="43">
        <f t="shared" si="2"/>
        <v>817.73</v>
      </c>
    </row>
    <row r="72" ht="13.5" customHeight="1">
      <c r="A72" s="1" t="s">
        <v>178</v>
      </c>
      <c r="B72" s="1" t="s">
        <v>74</v>
      </c>
      <c r="C72" s="41" t="str">
        <f t="shared" si="1"/>
        <v>Маленький</v>
      </c>
      <c r="D72" s="42">
        <f>VLOOKUP(A72,'Задание 2 (Известные данные)'!$A$2:$D$501,2,FALSE)</f>
        <v>56789</v>
      </c>
      <c r="E72" s="43">
        <f>ROUND(D72*VLOOKUP(B72,'Задание 2 (Справочник)'!$B$8:$D$12,2,FALSE)/(1-VLOOKUP(B72,'Задание 2 (Справочник)'!$B$8:$D$12,3,FALSE)),0)</f>
        <v>64902</v>
      </c>
      <c r="F72" s="43">
        <f>VLOOKUP(A72,'Задание 2 (Известные данные)'!$A$2:$D$501,3,FALSE)</f>
        <v>37481</v>
      </c>
      <c r="G72" s="37">
        <f>F72*VLOOKUP(A72,'Задание 2 (Известные данные)'!$A$2:$D$501,4,FALSE)/1000</f>
        <v>2698.632</v>
      </c>
      <c r="H72" s="43">
        <f>ROUND(E72*VLOOKUP(C72,'Задание 2 (Справочник)'!$B$16:$C$18,2,FALSE),0)</f>
        <v>649</v>
      </c>
      <c r="I72" s="43">
        <f t="shared" si="2"/>
        <v>1355.81</v>
      </c>
    </row>
    <row r="73" ht="13.5" customHeight="1">
      <c r="A73" s="1" t="s">
        <v>179</v>
      </c>
      <c r="B73" s="1" t="s">
        <v>74</v>
      </c>
      <c r="C73" s="41" t="str">
        <f t="shared" si="1"/>
        <v>Маленький</v>
      </c>
      <c r="D73" s="42">
        <f>VLOOKUP(A73,'Задание 2 (Известные данные)'!$A$2:$D$501,2,FALSE)</f>
        <v>87654</v>
      </c>
      <c r="E73" s="43">
        <f>ROUND(D73*VLOOKUP(B73,'Задание 2 (Справочник)'!$B$8:$D$12,2,FALSE)/(1-VLOOKUP(B73,'Задание 2 (Справочник)'!$B$8:$D$12,3,FALSE)),0)</f>
        <v>100176</v>
      </c>
      <c r="F73" s="43">
        <f>VLOOKUP(A73,'Задание 2 (Известные данные)'!$A$2:$D$501,3,FALSE)</f>
        <v>57851</v>
      </c>
      <c r="G73" s="37">
        <f>F73*VLOOKUP(A73,'Задание 2 (Известные данные)'!$A$2:$D$501,4,FALSE)/1000</f>
        <v>4859.484</v>
      </c>
      <c r="H73" s="43">
        <f>ROUND(E73*VLOOKUP(C73,'Задание 2 (Справочник)'!$B$16:$C$18,2,FALSE),0)</f>
        <v>1002</v>
      </c>
      <c r="I73" s="43">
        <f t="shared" si="2"/>
        <v>2439.76</v>
      </c>
    </row>
    <row r="74" ht="13.5" customHeight="1">
      <c r="A74" s="1" t="s">
        <v>180</v>
      </c>
      <c r="B74" s="1" t="s">
        <v>74</v>
      </c>
      <c r="C74" s="41" t="str">
        <f t="shared" si="1"/>
        <v>Маленький</v>
      </c>
      <c r="D74" s="42">
        <f>VLOOKUP(A74,'Задание 2 (Известные данные)'!$A$2:$D$501,2,FALSE)</f>
        <v>23456</v>
      </c>
      <c r="E74" s="43">
        <f>ROUND(D74*VLOOKUP(B74,'Задание 2 (Справочник)'!$B$8:$D$12,2,FALSE)/(1-VLOOKUP(B74,'Задание 2 (Справочник)'!$B$8:$D$12,3,FALSE)),0)</f>
        <v>26807</v>
      </c>
      <c r="F74" s="43">
        <f>VLOOKUP(A74,'Задание 2 (Известные данные)'!$A$2:$D$501,3,FALSE)</f>
        <v>15481</v>
      </c>
      <c r="G74" s="37">
        <f>F74*VLOOKUP(A74,'Задание 2 (Известные данные)'!$A$2:$D$501,4,FALSE)/1000</f>
        <v>789.531</v>
      </c>
      <c r="H74" s="43">
        <f>ROUND(E74*VLOOKUP(C74,'Задание 2 (Справочник)'!$B$16:$C$18,2,FALSE),0)</f>
        <v>268</v>
      </c>
      <c r="I74" s="43">
        <f t="shared" si="2"/>
        <v>397.45</v>
      </c>
    </row>
    <row r="75" ht="13.5" customHeight="1">
      <c r="A75" s="1" t="s">
        <v>181</v>
      </c>
      <c r="B75" s="1" t="s">
        <v>74</v>
      </c>
      <c r="C75" s="41" t="str">
        <f t="shared" si="1"/>
        <v>Маленький</v>
      </c>
      <c r="D75" s="42">
        <f>VLOOKUP(A75,'Задание 2 (Известные данные)'!$A$2:$D$501,2,FALSE)</f>
        <v>98765</v>
      </c>
      <c r="E75" s="43">
        <f>ROUND(D75*VLOOKUP(B75,'Задание 2 (Справочник)'!$B$8:$D$12,2,FALSE)/(1-VLOOKUP(B75,'Задание 2 (Справочник)'!$B$8:$D$12,3,FALSE)),0)</f>
        <v>112874</v>
      </c>
      <c r="F75" s="43">
        <f>VLOOKUP(A75,'Задание 2 (Известные данные)'!$A$2:$D$501,3,FALSE)</f>
        <v>65185</v>
      </c>
      <c r="G75" s="37">
        <f>F75*VLOOKUP(A75,'Задание 2 (Известные данные)'!$A$2:$D$501,4,FALSE)/1000</f>
        <v>5736.28</v>
      </c>
      <c r="H75" s="43">
        <f>ROUND(E75*VLOOKUP(C75,'Задание 2 (Справочник)'!$B$16:$C$18,2,FALSE),0)</f>
        <v>1129</v>
      </c>
      <c r="I75" s="43">
        <f t="shared" si="2"/>
        <v>2879.43</v>
      </c>
    </row>
    <row r="76" ht="13.5" customHeight="1">
      <c r="A76" s="1" t="s">
        <v>182</v>
      </c>
      <c r="B76" s="1" t="s">
        <v>74</v>
      </c>
      <c r="C76" s="41" t="str">
        <f t="shared" si="1"/>
        <v>Маленький</v>
      </c>
      <c r="D76" s="42">
        <f>VLOOKUP(A76,'Задание 2 (Известные данные)'!$A$2:$D$501,2,FALSE)</f>
        <v>34567</v>
      </c>
      <c r="E76" s="43">
        <f>ROUND(D76*VLOOKUP(B76,'Задание 2 (Справочник)'!$B$8:$D$12,2,FALSE)/(1-VLOOKUP(B76,'Задание 2 (Справочник)'!$B$8:$D$12,3,FALSE)),0)</f>
        <v>39505</v>
      </c>
      <c r="F76" s="43">
        <f>VLOOKUP(A76,'Задание 2 (Известные данные)'!$A$2:$D$501,3,FALSE)</f>
        <v>22814</v>
      </c>
      <c r="G76" s="37">
        <f>F76*VLOOKUP(A76,'Задание 2 (Известные данные)'!$A$2:$D$501,4,FALSE)/1000</f>
        <v>1482.91</v>
      </c>
      <c r="H76" s="43">
        <f>ROUND(E76*VLOOKUP(C76,'Задание 2 (Справочник)'!$B$16:$C$18,2,FALSE),0)</f>
        <v>395</v>
      </c>
      <c r="I76" s="43">
        <f t="shared" si="2"/>
        <v>745.41</v>
      </c>
    </row>
    <row r="77" ht="13.5" customHeight="1">
      <c r="A77" s="1" t="s">
        <v>183</v>
      </c>
      <c r="B77" s="1" t="s">
        <v>74</v>
      </c>
      <c r="C77" s="41" t="str">
        <f t="shared" si="1"/>
        <v>Маленький</v>
      </c>
      <c r="D77" s="42">
        <f>VLOOKUP(A77,'Задание 2 (Известные данные)'!$A$2:$D$501,2,FALSE)</f>
        <v>65432</v>
      </c>
      <c r="E77" s="43">
        <f>ROUND(D77*VLOOKUP(B77,'Задание 2 (Справочник)'!$B$8:$D$12,2,FALSE)/(1-VLOOKUP(B77,'Задание 2 (Справочник)'!$B$8:$D$12,3,FALSE)),0)</f>
        <v>74779</v>
      </c>
      <c r="F77" s="43">
        <f>VLOOKUP(A77,'Задание 2 (Известные данные)'!$A$2:$D$501,3,FALSE)</f>
        <v>43185</v>
      </c>
      <c r="G77" s="37">
        <f>F77*VLOOKUP(A77,'Задание 2 (Известные данные)'!$A$2:$D$501,4,FALSE)/1000</f>
        <v>3152.505</v>
      </c>
      <c r="H77" s="43">
        <f>ROUND(E77*VLOOKUP(C77,'Задание 2 (Справочник)'!$B$16:$C$18,2,FALSE),0)</f>
        <v>748</v>
      </c>
      <c r="I77" s="43">
        <f t="shared" si="2"/>
        <v>1583.73</v>
      </c>
    </row>
    <row r="78" ht="13.5" customHeight="1">
      <c r="A78" s="1" t="s">
        <v>184</v>
      </c>
      <c r="B78" s="1" t="s">
        <v>74</v>
      </c>
      <c r="C78" s="41" t="str">
        <f t="shared" si="1"/>
        <v>Маленький</v>
      </c>
      <c r="D78" s="42">
        <f>VLOOKUP(A78,'Задание 2 (Известные данные)'!$A$2:$D$501,2,FALSE)</f>
        <v>12345</v>
      </c>
      <c r="E78" s="43">
        <f>ROUND(D78*VLOOKUP(B78,'Задание 2 (Справочник)'!$B$8:$D$12,2,FALSE)/(1-VLOOKUP(B78,'Задание 2 (Справочник)'!$B$8:$D$12,3,FALSE)),0)</f>
        <v>14109</v>
      </c>
      <c r="F78" s="43">
        <f>VLOOKUP(A78,'Задание 2 (Известные данные)'!$A$2:$D$501,3,FALSE)</f>
        <v>8148</v>
      </c>
      <c r="G78" s="37">
        <f>F78*VLOOKUP(A78,'Задание 2 (Известные данные)'!$A$2:$D$501,4,FALSE)/1000</f>
        <v>374.808</v>
      </c>
      <c r="H78" s="43">
        <f>ROUND(E78*VLOOKUP(C78,'Задание 2 (Справочник)'!$B$16:$C$18,2,FALSE),0)</f>
        <v>141</v>
      </c>
      <c r="I78" s="43">
        <f t="shared" si="2"/>
        <v>188.81</v>
      </c>
    </row>
    <row r="79" ht="13.5" customHeight="1">
      <c r="A79" s="1" t="s">
        <v>185</v>
      </c>
      <c r="B79" s="1" t="s">
        <v>74</v>
      </c>
      <c r="C79" s="41" t="str">
        <f t="shared" si="1"/>
        <v>Маленький</v>
      </c>
      <c r="D79" s="42">
        <f>VLOOKUP(A79,'Задание 2 (Известные данные)'!$A$2:$D$501,2,FALSE)</f>
        <v>76543</v>
      </c>
      <c r="E79" s="43">
        <f>ROUND(D79*VLOOKUP(B79,'Задание 2 (Справочник)'!$B$8:$D$12,2,FALSE)/(1-VLOOKUP(B79,'Задание 2 (Справочник)'!$B$8:$D$12,3,FALSE)),0)</f>
        <v>87478</v>
      </c>
      <c r="F79" s="43">
        <f>VLOOKUP(A79,'Задание 2 (Известные данные)'!$A$2:$D$501,3,FALSE)</f>
        <v>50518</v>
      </c>
      <c r="G79" s="37">
        <f>F79*VLOOKUP(A79,'Задание 2 (Известные данные)'!$A$2:$D$501,4,FALSE)/1000</f>
        <v>4041.44</v>
      </c>
      <c r="H79" s="43">
        <f>ROUND(E79*VLOOKUP(C79,'Задание 2 (Справочник)'!$B$16:$C$18,2,FALSE),0)</f>
        <v>875</v>
      </c>
      <c r="I79" s="43">
        <f t="shared" si="2"/>
        <v>2029.47</v>
      </c>
    </row>
    <row r="80" ht="13.5" customHeight="1">
      <c r="A80" s="1" t="s">
        <v>186</v>
      </c>
      <c r="B80" s="1" t="s">
        <v>74</v>
      </c>
      <c r="C80" s="41" t="str">
        <f t="shared" si="1"/>
        <v>Маленький</v>
      </c>
      <c r="D80" s="42">
        <f>VLOOKUP(A80,'Задание 2 (Известные данные)'!$A$2:$D$501,2,FALSE)</f>
        <v>43210</v>
      </c>
      <c r="E80" s="43">
        <f>ROUND(D80*VLOOKUP(B80,'Задание 2 (Справочник)'!$B$8:$D$12,2,FALSE)/(1-VLOOKUP(B80,'Задание 2 (Справочник)'!$B$8:$D$12,3,FALSE)),0)</f>
        <v>49383</v>
      </c>
      <c r="F80" s="43">
        <f>VLOOKUP(A80,'Задание 2 (Известные данные)'!$A$2:$D$501,3,FALSE)</f>
        <v>28519</v>
      </c>
      <c r="G80" s="37">
        <f>F80*VLOOKUP(A80,'Задание 2 (Известные данные)'!$A$2:$D$501,4,FALSE)/1000</f>
        <v>1597.064</v>
      </c>
      <c r="H80" s="43">
        <f>ROUND(E80*VLOOKUP(C80,'Задание 2 (Справочник)'!$B$16:$C$18,2,FALSE),0)</f>
        <v>494</v>
      </c>
      <c r="I80" s="43">
        <f t="shared" si="2"/>
        <v>803.47</v>
      </c>
    </row>
    <row r="81" ht="13.5" customHeight="1">
      <c r="A81" s="1" t="s">
        <v>187</v>
      </c>
      <c r="B81" s="1" t="s">
        <v>74</v>
      </c>
      <c r="C81" s="41" t="str">
        <f t="shared" si="1"/>
        <v>Маленький</v>
      </c>
      <c r="D81" s="42">
        <f>VLOOKUP(A81,'Задание 2 (Известные данные)'!$A$2:$D$501,2,FALSE)</f>
        <v>56789</v>
      </c>
      <c r="E81" s="43">
        <f>ROUND(D81*VLOOKUP(B81,'Задание 2 (Справочник)'!$B$8:$D$12,2,FALSE)/(1-VLOOKUP(B81,'Задание 2 (Справочник)'!$B$8:$D$12,3,FALSE)),0)</f>
        <v>64902</v>
      </c>
      <c r="F81" s="43">
        <f>VLOOKUP(A81,'Задание 2 (Известные данные)'!$A$2:$D$501,3,FALSE)</f>
        <v>37481</v>
      </c>
      <c r="G81" s="37">
        <f>F81*VLOOKUP(A81,'Задание 2 (Известные данные)'!$A$2:$D$501,4,FALSE)/1000</f>
        <v>2586.189</v>
      </c>
      <c r="H81" s="43">
        <f>ROUND(E81*VLOOKUP(C81,'Задание 2 (Справочник)'!$B$16:$C$18,2,FALSE),0)</f>
        <v>649</v>
      </c>
      <c r="I81" s="43">
        <f t="shared" si="2"/>
        <v>1299.58</v>
      </c>
    </row>
    <row r="82" ht="13.5" customHeight="1">
      <c r="A82" s="1" t="s">
        <v>188</v>
      </c>
      <c r="B82" s="1" t="s">
        <v>74</v>
      </c>
      <c r="C82" s="41" t="str">
        <f t="shared" si="1"/>
        <v>Маленький</v>
      </c>
      <c r="D82" s="42">
        <f>VLOOKUP(A82,'Задание 2 (Известные данные)'!$A$2:$D$501,2,FALSE)</f>
        <v>87654</v>
      </c>
      <c r="E82" s="43">
        <f>ROUND(D82*VLOOKUP(B82,'Задание 2 (Справочник)'!$B$8:$D$12,2,FALSE)/(1-VLOOKUP(B82,'Задание 2 (Справочник)'!$B$8:$D$12,3,FALSE)),0)</f>
        <v>100176</v>
      </c>
      <c r="F82" s="43">
        <f>VLOOKUP(A82,'Задание 2 (Известные данные)'!$A$2:$D$501,3,FALSE)</f>
        <v>57851</v>
      </c>
      <c r="G82" s="37">
        <f>F82*VLOOKUP(A82,'Задание 2 (Известные данные)'!$A$2:$D$501,4,FALSE)/1000</f>
        <v>4917.335</v>
      </c>
      <c r="H82" s="43">
        <f>ROUND(E82*VLOOKUP(C82,'Задание 2 (Справочник)'!$B$16:$C$18,2,FALSE),0)</f>
        <v>1002</v>
      </c>
      <c r="I82" s="43">
        <f t="shared" si="2"/>
        <v>2468.69</v>
      </c>
    </row>
    <row r="83" ht="13.5" customHeight="1">
      <c r="A83" s="1" t="s">
        <v>189</v>
      </c>
      <c r="B83" s="1" t="s">
        <v>75</v>
      </c>
      <c r="C83" s="41" t="str">
        <f t="shared" si="1"/>
        <v>Большой</v>
      </c>
      <c r="D83" s="42">
        <f>VLOOKUP(A83,'Задание 2 (Известные данные)'!$A$2:$D$501,2,FALSE)</f>
        <v>2876543</v>
      </c>
      <c r="E83" s="43">
        <f>ROUND(D83*VLOOKUP(B83,'Задание 2 (Справочник)'!$B$8:$D$12,2,FALSE)/(1-VLOOKUP(B83,'Задание 2 (Справочник)'!$B$8:$D$12,3,FALSE)),0)</f>
        <v>3082010</v>
      </c>
      <c r="F83" s="43">
        <f>VLOOKUP(A83,'Задание 2 (Известные данные)'!$A$2:$D$501,3,FALSE)</f>
        <v>2114259</v>
      </c>
      <c r="G83" s="37">
        <f>F83*VLOOKUP(A83,'Задание 2 (Известные данные)'!$A$2:$D$501,4,FALSE)/1000</f>
        <v>376338.102</v>
      </c>
      <c r="H83" s="43">
        <f>ROUND(E83*VLOOKUP(C83,'Задание 2 (Справочник)'!$B$16:$C$18,2,FALSE),0)</f>
        <v>15410</v>
      </c>
      <c r="I83" s="43">
        <f t="shared" si="2"/>
        <v>188323.15</v>
      </c>
    </row>
    <row r="84" ht="13.5" customHeight="1">
      <c r="A84" s="1" t="s">
        <v>190</v>
      </c>
      <c r="B84" s="1" t="s">
        <v>75</v>
      </c>
      <c r="C84" s="41" t="str">
        <f t="shared" si="1"/>
        <v>Большой</v>
      </c>
      <c r="D84" s="42">
        <f>VLOOKUP(A84,'Задание 2 (Известные данные)'!$A$2:$D$501,2,FALSE)</f>
        <v>3987612</v>
      </c>
      <c r="E84" s="43">
        <f>ROUND(D84*VLOOKUP(B84,'Задание 2 (Справочник)'!$B$8:$D$12,2,FALSE)/(1-VLOOKUP(B84,'Задание 2 (Справочник)'!$B$8:$D$12,3,FALSE)),0)</f>
        <v>4272441</v>
      </c>
      <c r="F84" s="43">
        <f>VLOOKUP(A84,'Задание 2 (Известные данные)'!$A$2:$D$501,3,FALSE)</f>
        <v>2930895</v>
      </c>
      <c r="G84" s="37">
        <f>F84*VLOOKUP(A84,'Задание 2 (Известные данные)'!$A$2:$D$501,4,FALSE)/1000</f>
        <v>562731.84</v>
      </c>
      <c r="H84" s="43">
        <f>ROUND(E84*VLOOKUP(C84,'Задание 2 (Справочник)'!$B$16:$C$18,2,FALSE),0)</f>
        <v>21362</v>
      </c>
      <c r="I84" s="43">
        <f t="shared" si="2"/>
        <v>281579.54</v>
      </c>
    </row>
    <row r="85" ht="13.5" customHeight="1">
      <c r="A85" s="1" t="s">
        <v>191</v>
      </c>
      <c r="B85" s="1" t="s">
        <v>75</v>
      </c>
      <c r="C85" s="41" t="str">
        <f t="shared" si="1"/>
        <v>Большой</v>
      </c>
      <c r="D85" s="42">
        <f>VLOOKUP(A85,'Задание 2 (Известные данные)'!$A$2:$D$501,2,FALSE)</f>
        <v>1765432</v>
      </c>
      <c r="E85" s="43">
        <f>ROUND(D85*VLOOKUP(B85,'Задание 2 (Справочник)'!$B$8:$D$12,2,FALSE)/(1-VLOOKUP(B85,'Задание 2 (Справочник)'!$B$8:$D$12,3,FALSE)),0)</f>
        <v>1891534</v>
      </c>
      <c r="F85" s="43">
        <f>VLOOKUP(A85,'Задание 2 (Известные данные)'!$A$2:$D$501,3,FALSE)</f>
        <v>1297593</v>
      </c>
      <c r="G85" s="37">
        <f>F85*VLOOKUP(A85,'Задание 2 (Известные данные)'!$A$2:$D$501,4,FALSE)/1000</f>
        <v>214102.845</v>
      </c>
      <c r="H85" s="43">
        <f>ROUND(E85*VLOOKUP(C85,'Задание 2 (Справочник)'!$B$16:$C$18,2,FALSE),0)</f>
        <v>9458</v>
      </c>
      <c r="I85" s="43">
        <f t="shared" si="2"/>
        <v>107146</v>
      </c>
    </row>
    <row r="86" ht="13.5" customHeight="1">
      <c r="A86" s="1" t="s">
        <v>192</v>
      </c>
      <c r="B86" s="1" t="s">
        <v>75</v>
      </c>
      <c r="C86" s="41" t="str">
        <f t="shared" si="1"/>
        <v>Большой</v>
      </c>
      <c r="D86" s="42">
        <f>VLOOKUP(A86,'Задание 2 (Известные данные)'!$A$2:$D$501,2,FALSE)</f>
        <v>5123987</v>
      </c>
      <c r="E86" s="43">
        <f>ROUND(D86*VLOOKUP(B86,'Задание 2 (Справочник)'!$B$8:$D$12,2,FALSE)/(1-VLOOKUP(B86,'Задание 2 (Справочник)'!$B$8:$D$12,3,FALSE)),0)</f>
        <v>5489986</v>
      </c>
      <c r="F86" s="43">
        <f>VLOOKUP(A86,'Задание 2 (Известные данные)'!$A$2:$D$501,3,FALSE)</f>
        <v>3766130</v>
      </c>
      <c r="G86" s="37">
        <f>F86*VLOOKUP(A86,'Задание 2 (Известные данные)'!$A$2:$D$501,4,FALSE)/1000</f>
        <v>696734.05</v>
      </c>
      <c r="H86" s="43">
        <f>ROUND(E86*VLOOKUP(C86,'Задание 2 (Справочник)'!$B$16:$C$18,2,FALSE),0)</f>
        <v>27450</v>
      </c>
      <c r="I86" s="43">
        <f t="shared" si="2"/>
        <v>348641.53</v>
      </c>
    </row>
    <row r="87" ht="13.5" customHeight="1">
      <c r="A87" s="1" t="s">
        <v>193</v>
      </c>
      <c r="B87" s="1" t="s">
        <v>75</v>
      </c>
      <c r="C87" s="41" t="str">
        <f t="shared" si="1"/>
        <v>Большой</v>
      </c>
      <c r="D87" s="42">
        <f>VLOOKUP(A87,'Задание 2 (Известные данные)'!$A$2:$D$501,2,FALSE)</f>
        <v>2345678</v>
      </c>
      <c r="E87" s="43">
        <f>ROUND(D87*VLOOKUP(B87,'Задание 2 (Справочник)'!$B$8:$D$12,2,FALSE)/(1-VLOOKUP(B87,'Задание 2 (Справочник)'!$B$8:$D$12,3,FALSE)),0)</f>
        <v>2513226</v>
      </c>
      <c r="F87" s="43">
        <f>VLOOKUP(A87,'Задание 2 (Известные данные)'!$A$2:$D$501,3,FALSE)</f>
        <v>1724073</v>
      </c>
      <c r="G87" s="37">
        <f>F87*VLOOKUP(A87,'Задание 2 (Известные данные)'!$A$2:$D$501,4,FALSE)/1000</f>
        <v>294816.483</v>
      </c>
      <c r="H87" s="43">
        <f>ROUND(E87*VLOOKUP(C87,'Задание 2 (Справочник)'!$B$16:$C$18,2,FALSE),0)</f>
        <v>12566</v>
      </c>
      <c r="I87" s="43">
        <f t="shared" si="2"/>
        <v>147533.9</v>
      </c>
    </row>
    <row r="88" ht="13.5" customHeight="1">
      <c r="A88" s="1" t="s">
        <v>194</v>
      </c>
      <c r="B88" s="1" t="s">
        <v>75</v>
      </c>
      <c r="C88" s="41" t="str">
        <f t="shared" si="1"/>
        <v>Большой</v>
      </c>
      <c r="D88" s="42">
        <f>VLOOKUP(A88,'Задание 2 (Известные данные)'!$A$2:$D$501,2,FALSE)</f>
        <v>3456789</v>
      </c>
      <c r="E88" s="43">
        <f>ROUND(D88*VLOOKUP(B88,'Задание 2 (Справочник)'!$B$8:$D$12,2,FALSE)/(1-VLOOKUP(B88,'Задание 2 (Справочник)'!$B$8:$D$12,3,FALSE)),0)</f>
        <v>3703703</v>
      </c>
      <c r="F88" s="43">
        <f>VLOOKUP(A88,'Задание 2 (Известные данные)'!$A$2:$D$501,3,FALSE)</f>
        <v>2540740</v>
      </c>
      <c r="G88" s="37">
        <f>F88*VLOOKUP(A88,'Задание 2 (Известные данные)'!$A$2:$D$501,4,FALSE)/1000</f>
        <v>480199.86</v>
      </c>
      <c r="H88" s="43">
        <f>ROUND(E88*VLOOKUP(C88,'Задание 2 (Справочник)'!$B$16:$C$18,2,FALSE),0)</f>
        <v>18519</v>
      </c>
      <c r="I88" s="43">
        <f t="shared" si="2"/>
        <v>240285.12</v>
      </c>
    </row>
    <row r="89" ht="13.5" customHeight="1">
      <c r="A89" s="1" t="s">
        <v>195</v>
      </c>
      <c r="B89" s="1" t="s">
        <v>75</v>
      </c>
      <c r="C89" s="41" t="str">
        <f t="shared" si="1"/>
        <v>Большой</v>
      </c>
      <c r="D89" s="42">
        <f>VLOOKUP(A89,'Задание 2 (Известные данные)'!$A$2:$D$501,2,FALSE)</f>
        <v>4234567</v>
      </c>
      <c r="E89" s="43">
        <f>ROUND(D89*VLOOKUP(B89,'Задание 2 (Справочник)'!$B$8:$D$12,2,FALSE)/(1-VLOOKUP(B89,'Задание 2 (Справочник)'!$B$8:$D$12,3,FALSE)),0)</f>
        <v>4537036</v>
      </c>
      <c r="F89" s="43">
        <f>VLOOKUP(A89,'Задание 2 (Известные данные)'!$A$2:$D$501,3,FALSE)</f>
        <v>3112407</v>
      </c>
      <c r="G89" s="37">
        <f>F89*VLOOKUP(A89,'Задание 2 (Известные данные)'!$A$2:$D$501,4,FALSE)/1000</f>
        <v>610031.772</v>
      </c>
      <c r="H89" s="43">
        <f>ROUND(E89*VLOOKUP(C89,'Задание 2 (Справочник)'!$B$16:$C$18,2,FALSE),0)</f>
        <v>22685</v>
      </c>
      <c r="I89" s="43">
        <f t="shared" si="2"/>
        <v>305242.74</v>
      </c>
    </row>
    <row r="90" ht="13.5" customHeight="1">
      <c r="A90" s="1" t="s">
        <v>196</v>
      </c>
      <c r="B90" s="1" t="s">
        <v>75</v>
      </c>
      <c r="C90" s="41" t="str">
        <f t="shared" si="1"/>
        <v>Большой</v>
      </c>
      <c r="D90" s="42">
        <f>VLOOKUP(A90,'Задание 2 (Известные данные)'!$A$2:$D$501,2,FALSE)</f>
        <v>1987654</v>
      </c>
      <c r="E90" s="43">
        <f>ROUND(D90*VLOOKUP(B90,'Задание 2 (Справочник)'!$B$8:$D$12,2,FALSE)/(1-VLOOKUP(B90,'Задание 2 (Справочник)'!$B$8:$D$12,3,FALSE)),0)</f>
        <v>2129629</v>
      </c>
      <c r="F90" s="43">
        <f>VLOOKUP(A90,'Задание 2 (Известные данные)'!$A$2:$D$501,3,FALSE)</f>
        <v>1460926</v>
      </c>
      <c r="G90" s="37">
        <f>F90*VLOOKUP(A90,'Задание 2 (Известные данные)'!$A$2:$D$501,4,FALSE)/1000</f>
        <v>236670.012</v>
      </c>
      <c r="H90" s="43">
        <f>ROUND(E90*VLOOKUP(C90,'Задание 2 (Справочник)'!$B$16:$C$18,2,FALSE),0)</f>
        <v>10648</v>
      </c>
      <c r="I90" s="43">
        <f t="shared" si="2"/>
        <v>118441.49</v>
      </c>
    </row>
    <row r="91" ht="13.5" customHeight="1">
      <c r="A91" s="1" t="s">
        <v>197</v>
      </c>
      <c r="B91" s="1" t="s">
        <v>75</v>
      </c>
      <c r="C91" s="41" t="str">
        <f t="shared" si="1"/>
        <v>Большой</v>
      </c>
      <c r="D91" s="42">
        <f>VLOOKUP(A91,'Задание 2 (Известные данные)'!$A$2:$D$501,2,FALSE)</f>
        <v>3678901</v>
      </c>
      <c r="E91" s="43">
        <f>ROUND(D91*VLOOKUP(B91,'Задание 2 (Справочник)'!$B$8:$D$12,2,FALSE)/(1-VLOOKUP(B91,'Задание 2 (Справочник)'!$B$8:$D$12,3,FALSE)),0)</f>
        <v>3941680</v>
      </c>
      <c r="F91" s="43">
        <f>VLOOKUP(A91,'Задание 2 (Известные данные)'!$A$2:$D$501,3,FALSE)</f>
        <v>2703992</v>
      </c>
      <c r="G91" s="37">
        <f>F91*VLOOKUP(A91,'Задание 2 (Известные данные)'!$A$2:$D$501,4,FALSE)/1000</f>
        <v>489422.552</v>
      </c>
      <c r="H91" s="43">
        <f>ROUND(E91*VLOOKUP(C91,'Задание 2 (Справочник)'!$B$16:$C$18,2,FALSE),0)</f>
        <v>19708</v>
      </c>
      <c r="I91" s="43">
        <f t="shared" si="2"/>
        <v>244908.36</v>
      </c>
    </row>
    <row r="92" ht="13.5" customHeight="1">
      <c r="A92" s="1" t="s">
        <v>198</v>
      </c>
      <c r="B92" s="1" t="s">
        <v>75</v>
      </c>
      <c r="C92" s="41" t="str">
        <f t="shared" si="1"/>
        <v>Большой</v>
      </c>
      <c r="D92" s="42">
        <f>VLOOKUP(A92,'Задание 2 (Известные данные)'!$A$2:$D$501,2,FALSE)</f>
        <v>2765432</v>
      </c>
      <c r="E92" s="43">
        <f>ROUND(D92*VLOOKUP(B92,'Задание 2 (Справочник)'!$B$8:$D$12,2,FALSE)/(1-VLOOKUP(B92,'Задание 2 (Справочник)'!$B$8:$D$12,3,FALSE)),0)</f>
        <v>2962963</v>
      </c>
      <c r="F92" s="43">
        <f>VLOOKUP(A92,'Задание 2 (Известные данные)'!$A$2:$D$501,3,FALSE)</f>
        <v>2032593</v>
      </c>
      <c r="G92" s="37">
        <f>F92*VLOOKUP(A92,'Задание 2 (Известные данные)'!$A$2:$D$501,4,FALSE)/1000</f>
        <v>353671.182</v>
      </c>
      <c r="H92" s="43">
        <f>ROUND(E92*VLOOKUP(C92,'Задание 2 (Справочник)'!$B$16:$C$18,2,FALSE),0)</f>
        <v>14815</v>
      </c>
      <c r="I92" s="43">
        <f t="shared" si="2"/>
        <v>176983.74</v>
      </c>
    </row>
    <row r="93" ht="13.5" customHeight="1">
      <c r="A93" s="1" t="s">
        <v>199</v>
      </c>
      <c r="B93" s="1" t="s">
        <v>75</v>
      </c>
      <c r="C93" s="41" t="str">
        <f t="shared" si="1"/>
        <v>Большой</v>
      </c>
      <c r="D93" s="42">
        <f>VLOOKUP(A93,'Задание 2 (Известные данные)'!$A$2:$D$501,2,FALSE)</f>
        <v>4509876</v>
      </c>
      <c r="E93" s="43">
        <f>ROUND(D93*VLOOKUP(B93,'Задание 2 (Справочник)'!$B$8:$D$12,2,FALSE)/(1-VLOOKUP(B93,'Задание 2 (Справочник)'!$B$8:$D$12,3,FALSE)),0)</f>
        <v>4832010</v>
      </c>
      <c r="F93" s="43">
        <f>VLOOKUP(A93,'Задание 2 (Известные данные)'!$A$2:$D$501,3,FALSE)</f>
        <v>3314759</v>
      </c>
      <c r="G93" s="37">
        <f>F93*VLOOKUP(A93,'Задание 2 (Известные данные)'!$A$2:$D$501,4,FALSE)/1000</f>
        <v>659637.041</v>
      </c>
      <c r="H93" s="43">
        <f>ROUND(E93*VLOOKUP(C93,'Задание 2 (Справочник)'!$B$16:$C$18,2,FALSE),0)</f>
        <v>24160</v>
      </c>
      <c r="I93" s="43">
        <f t="shared" si="2"/>
        <v>330060.12</v>
      </c>
    </row>
    <row r="94" ht="13.5" customHeight="1">
      <c r="A94" s="1" t="s">
        <v>200</v>
      </c>
      <c r="B94" s="1" t="s">
        <v>75</v>
      </c>
      <c r="C94" s="41" t="str">
        <f t="shared" si="1"/>
        <v>Большой</v>
      </c>
      <c r="D94" s="42">
        <f>VLOOKUP(A94,'Задание 2 (Известные данные)'!$A$2:$D$501,2,FALSE)</f>
        <v>3210987</v>
      </c>
      <c r="E94" s="43">
        <f>ROUND(D94*VLOOKUP(B94,'Задание 2 (Справочник)'!$B$8:$D$12,2,FALSE)/(1-VLOOKUP(B94,'Задание 2 (Справочник)'!$B$8:$D$12,3,FALSE)),0)</f>
        <v>3440343</v>
      </c>
      <c r="F94" s="43">
        <f>VLOOKUP(A94,'Задание 2 (Известные данные)'!$A$2:$D$501,3,FALSE)</f>
        <v>2360075</v>
      </c>
      <c r="G94" s="37">
        <f>F94*VLOOKUP(A94,'Задание 2 (Известные данные)'!$A$2:$D$501,4,FALSE)/1000</f>
        <v>417733.275</v>
      </c>
      <c r="H94" s="43">
        <f>ROUND(E94*VLOOKUP(C94,'Задание 2 (Справочник)'!$B$16:$C$18,2,FALSE),0)</f>
        <v>17202</v>
      </c>
      <c r="I94" s="43">
        <f t="shared" si="2"/>
        <v>209038.66</v>
      </c>
    </row>
    <row r="95" ht="13.5" customHeight="1">
      <c r="A95" s="1" t="s">
        <v>201</v>
      </c>
      <c r="B95" s="1" t="s">
        <v>75</v>
      </c>
      <c r="C95" s="41" t="str">
        <f t="shared" si="1"/>
        <v>Большой</v>
      </c>
      <c r="D95" s="42">
        <f>VLOOKUP(A95,'Задание 2 (Известные данные)'!$A$2:$D$501,2,FALSE)</f>
        <v>1876543</v>
      </c>
      <c r="E95" s="43">
        <f>ROUND(D95*VLOOKUP(B95,'Задание 2 (Справочник)'!$B$8:$D$12,2,FALSE)/(1-VLOOKUP(B95,'Задание 2 (Справочник)'!$B$8:$D$12,3,FALSE)),0)</f>
        <v>2010582</v>
      </c>
      <c r="F95" s="43">
        <f>VLOOKUP(A95,'Задание 2 (Известные данные)'!$A$2:$D$501,3,FALSE)</f>
        <v>1379259</v>
      </c>
      <c r="G95" s="37">
        <f>F95*VLOOKUP(A95,'Задание 2 (Известные данные)'!$A$2:$D$501,4,FALSE)/1000</f>
        <v>224819.217</v>
      </c>
      <c r="H95" s="43">
        <f>ROUND(E95*VLOOKUP(C95,'Задание 2 (Справочник)'!$B$16:$C$18,2,FALSE),0)</f>
        <v>10053</v>
      </c>
      <c r="I95" s="43">
        <f t="shared" si="2"/>
        <v>112510.14</v>
      </c>
    </row>
    <row r="96" ht="13.5" customHeight="1">
      <c r="A96" s="1" t="s">
        <v>202</v>
      </c>
      <c r="B96" s="1" t="s">
        <v>75</v>
      </c>
      <c r="C96" s="41" t="str">
        <f t="shared" si="1"/>
        <v>Большой</v>
      </c>
      <c r="D96" s="42">
        <f>VLOOKUP(A96,'Задание 2 (Известные данные)'!$A$2:$D$501,2,FALSE)</f>
        <v>4987612</v>
      </c>
      <c r="E96" s="43">
        <f>ROUND(D96*VLOOKUP(B96,'Задание 2 (Справочник)'!$B$8:$D$12,2,FALSE)/(1-VLOOKUP(B96,'Задание 2 (Справочник)'!$B$8:$D$12,3,FALSE)),0)</f>
        <v>5343870</v>
      </c>
      <c r="F96" s="43">
        <f>VLOOKUP(A96,'Задание 2 (Известные данные)'!$A$2:$D$501,3,FALSE)</f>
        <v>3665895</v>
      </c>
      <c r="G96" s="37">
        <f>F96*VLOOKUP(A96,'Задание 2 (Известные данные)'!$A$2:$D$501,4,FALSE)/1000</f>
        <v>674524.68</v>
      </c>
      <c r="H96" s="43">
        <f>ROUND(E96*VLOOKUP(C96,'Задание 2 (Справочник)'!$B$16:$C$18,2,FALSE),0)</f>
        <v>26719</v>
      </c>
      <c r="I96" s="43">
        <f t="shared" si="2"/>
        <v>337529.53</v>
      </c>
    </row>
    <row r="97" ht="13.5" customHeight="1">
      <c r="A97" s="1" t="s">
        <v>203</v>
      </c>
      <c r="B97" s="1" t="s">
        <v>75</v>
      </c>
      <c r="C97" s="41" t="str">
        <f t="shared" si="1"/>
        <v>Большой</v>
      </c>
      <c r="D97" s="42">
        <f>VLOOKUP(A97,'Задание 2 (Известные данные)'!$A$2:$D$501,2,FALSE)</f>
        <v>2345678</v>
      </c>
      <c r="E97" s="43">
        <f>ROUND(D97*VLOOKUP(B97,'Задание 2 (Справочник)'!$B$8:$D$12,2,FALSE)/(1-VLOOKUP(B97,'Задание 2 (Справочник)'!$B$8:$D$12,3,FALSE)),0)</f>
        <v>2513226</v>
      </c>
      <c r="F97" s="43">
        <f>VLOOKUP(A97,'Задание 2 (Известные данные)'!$A$2:$D$501,3,FALSE)</f>
        <v>1724073</v>
      </c>
      <c r="G97" s="37">
        <f>F97*VLOOKUP(A97,'Задание 2 (Известные данные)'!$A$2:$D$501,4,FALSE)/1000</f>
        <v>296540.556</v>
      </c>
      <c r="H97" s="43">
        <f>ROUND(E97*VLOOKUP(C97,'Задание 2 (Справочник)'!$B$16:$C$18,2,FALSE),0)</f>
        <v>12566</v>
      </c>
      <c r="I97" s="43">
        <f t="shared" si="2"/>
        <v>148395.94</v>
      </c>
    </row>
    <row r="98" ht="13.5" customHeight="1">
      <c r="A98" s="1" t="s">
        <v>204</v>
      </c>
      <c r="B98" s="1" t="s">
        <v>75</v>
      </c>
      <c r="C98" s="41" t="str">
        <f t="shared" si="1"/>
        <v>Большой</v>
      </c>
      <c r="D98" s="42">
        <f>VLOOKUP(A98,'Задание 2 (Известные данные)'!$A$2:$D$501,2,FALSE)</f>
        <v>3654321</v>
      </c>
      <c r="E98" s="43">
        <f>ROUND(D98*VLOOKUP(B98,'Задание 2 (Справочник)'!$B$8:$D$12,2,FALSE)/(1-VLOOKUP(B98,'Задание 2 (Справочник)'!$B$8:$D$12,3,FALSE)),0)</f>
        <v>3915344</v>
      </c>
      <c r="F98" s="43">
        <f>VLOOKUP(A98,'Задание 2 (Известные данные)'!$A$2:$D$501,3,FALSE)</f>
        <v>2685926</v>
      </c>
      <c r="G98" s="37">
        <f>F98*VLOOKUP(A98,'Задание 2 (Известные данные)'!$A$2:$D$501,4,FALSE)/1000</f>
        <v>483466.68</v>
      </c>
      <c r="H98" s="43">
        <f>ROUND(E98*VLOOKUP(C98,'Задание 2 (Справочник)'!$B$16:$C$18,2,FALSE),0)</f>
        <v>19577</v>
      </c>
      <c r="I98" s="43">
        <f t="shared" si="2"/>
        <v>241929.11</v>
      </c>
    </row>
    <row r="99" ht="13.5" customHeight="1">
      <c r="A99" s="1" t="s">
        <v>205</v>
      </c>
      <c r="B99" s="1" t="s">
        <v>75</v>
      </c>
      <c r="C99" s="41" t="str">
        <f t="shared" si="1"/>
        <v>Большой</v>
      </c>
      <c r="D99" s="42">
        <f>VLOOKUP(A99,'Задание 2 (Известные данные)'!$A$2:$D$501,2,FALSE)</f>
        <v>2765432</v>
      </c>
      <c r="E99" s="43">
        <f>ROUND(D99*VLOOKUP(B99,'Задание 2 (Справочник)'!$B$8:$D$12,2,FALSE)/(1-VLOOKUP(B99,'Задание 2 (Справочник)'!$B$8:$D$12,3,FALSE)),0)</f>
        <v>2962963</v>
      </c>
      <c r="F99" s="43">
        <f>VLOOKUP(A99,'Задание 2 (Известные данные)'!$A$2:$D$501,3,FALSE)</f>
        <v>2032593</v>
      </c>
      <c r="G99" s="37">
        <f>F99*VLOOKUP(A99,'Задание 2 (Известные данные)'!$A$2:$D$501,4,FALSE)/1000</f>
        <v>355703.775</v>
      </c>
      <c r="H99" s="43">
        <f>ROUND(E99*VLOOKUP(C99,'Задание 2 (Справочник)'!$B$16:$C$18,2,FALSE),0)</f>
        <v>14815</v>
      </c>
      <c r="I99" s="43">
        <f t="shared" si="2"/>
        <v>178000.04</v>
      </c>
    </row>
    <row r="100" ht="13.5" customHeight="1">
      <c r="A100" s="1" t="s">
        <v>206</v>
      </c>
      <c r="B100" s="1" t="s">
        <v>75</v>
      </c>
      <c r="C100" s="41" t="str">
        <f t="shared" si="1"/>
        <v>Большой</v>
      </c>
      <c r="D100" s="42">
        <f>VLOOKUP(A100,'Задание 2 (Известные данные)'!$A$2:$D$501,2,FALSE)</f>
        <v>3987612</v>
      </c>
      <c r="E100" s="43">
        <f>ROUND(D100*VLOOKUP(B100,'Задание 2 (Справочник)'!$B$8:$D$12,2,FALSE)/(1-VLOOKUP(B100,'Задание 2 (Справочник)'!$B$8:$D$12,3,FALSE)),0)</f>
        <v>4272441</v>
      </c>
      <c r="F100" s="43">
        <f>VLOOKUP(A100,'Задание 2 (Известные данные)'!$A$2:$D$501,3,FALSE)</f>
        <v>2930895</v>
      </c>
      <c r="G100" s="37">
        <f>F100*VLOOKUP(A100,'Задание 2 (Известные данные)'!$A$2:$D$501,4,FALSE)/1000</f>
        <v>559800.945</v>
      </c>
      <c r="H100" s="43">
        <f>ROUND(E100*VLOOKUP(C100,'Задание 2 (Справочник)'!$B$16:$C$18,2,FALSE),0)</f>
        <v>21362</v>
      </c>
      <c r="I100" s="43">
        <f t="shared" si="2"/>
        <v>280114.09</v>
      </c>
    </row>
    <row r="101" ht="13.5" customHeight="1">
      <c r="A101" s="1" t="s">
        <v>207</v>
      </c>
      <c r="B101" s="1" t="s">
        <v>75</v>
      </c>
      <c r="C101" s="41" t="str">
        <f t="shared" si="1"/>
        <v>Большой</v>
      </c>
      <c r="D101" s="42">
        <f>VLOOKUP(A101,'Задание 2 (Известные данные)'!$A$2:$D$501,2,FALSE)</f>
        <v>1876543</v>
      </c>
      <c r="E101" s="43">
        <f>ROUND(D101*VLOOKUP(B101,'Задание 2 (Справочник)'!$B$8:$D$12,2,FALSE)/(1-VLOOKUP(B101,'Задание 2 (Справочник)'!$B$8:$D$12,3,FALSE)),0)</f>
        <v>2010582</v>
      </c>
      <c r="F101" s="43">
        <f>VLOOKUP(A101,'Задание 2 (Известные данные)'!$A$2:$D$501,3,FALSE)</f>
        <v>1379259</v>
      </c>
      <c r="G101" s="37">
        <f>F101*VLOOKUP(A101,'Задание 2 (Известные данные)'!$A$2:$D$501,4,FALSE)/1000</f>
        <v>226198.476</v>
      </c>
      <c r="H101" s="43">
        <f>ROUND(E101*VLOOKUP(C101,'Задание 2 (Справочник)'!$B$16:$C$18,2,FALSE),0)</f>
        <v>10053</v>
      </c>
      <c r="I101" s="43">
        <f t="shared" si="2"/>
        <v>113199.77</v>
      </c>
    </row>
    <row r="102" ht="13.5" customHeight="1">
      <c r="A102" s="1" t="s">
        <v>208</v>
      </c>
      <c r="B102" s="1" t="s">
        <v>75</v>
      </c>
      <c r="C102" s="41" t="str">
        <f t="shared" si="1"/>
        <v>Большой</v>
      </c>
      <c r="D102" s="42">
        <f>VLOOKUP(A102,'Задание 2 (Известные данные)'!$A$2:$D$501,2,FALSE)</f>
        <v>5123987</v>
      </c>
      <c r="E102" s="43">
        <f>ROUND(D102*VLOOKUP(B102,'Задание 2 (Справочник)'!$B$8:$D$12,2,FALSE)/(1-VLOOKUP(B102,'Задание 2 (Справочник)'!$B$8:$D$12,3,FALSE)),0)</f>
        <v>5489986</v>
      </c>
      <c r="F102" s="43">
        <f>VLOOKUP(A102,'Задание 2 (Известные данные)'!$A$2:$D$501,3,FALSE)</f>
        <v>3766130</v>
      </c>
      <c r="G102" s="37">
        <f>F102*VLOOKUP(A102,'Задание 2 (Известные данные)'!$A$2:$D$501,4,FALSE)/1000</f>
        <v>700500.18</v>
      </c>
      <c r="H102" s="43">
        <f>ROUND(E102*VLOOKUP(C102,'Задание 2 (Справочник)'!$B$16:$C$18,2,FALSE),0)</f>
        <v>27450</v>
      </c>
      <c r="I102" s="43">
        <f t="shared" si="2"/>
        <v>350524.59</v>
      </c>
    </row>
    <row r="103" ht="13.5" customHeight="1">
      <c r="A103" s="1" t="s">
        <v>209</v>
      </c>
      <c r="B103" s="1" t="s">
        <v>75</v>
      </c>
      <c r="C103" s="41" t="str">
        <f t="shared" si="1"/>
        <v>Большой</v>
      </c>
      <c r="D103" s="42">
        <f>VLOOKUP(A103,'Задание 2 (Известные данные)'!$A$2:$D$501,2,FALSE)</f>
        <v>2345678</v>
      </c>
      <c r="E103" s="43">
        <f>ROUND(D103*VLOOKUP(B103,'Задание 2 (Справочник)'!$B$8:$D$12,2,FALSE)/(1-VLOOKUP(B103,'Задание 2 (Справочник)'!$B$8:$D$12,3,FALSE)),0)</f>
        <v>2513226</v>
      </c>
      <c r="F103" s="43">
        <f>VLOOKUP(A103,'Задание 2 (Известные данные)'!$A$2:$D$501,3,FALSE)</f>
        <v>1724073</v>
      </c>
      <c r="G103" s="37">
        <f>F103*VLOOKUP(A103,'Задание 2 (Известные данные)'!$A$2:$D$501,4,FALSE)/1000</f>
        <v>298264.629</v>
      </c>
      <c r="H103" s="43">
        <f>ROUND(E103*VLOOKUP(C103,'Задание 2 (Справочник)'!$B$16:$C$18,2,FALSE),0)</f>
        <v>12566</v>
      </c>
      <c r="I103" s="43">
        <f t="shared" si="2"/>
        <v>149257.97</v>
      </c>
    </row>
    <row r="104" ht="13.5" customHeight="1">
      <c r="A104" s="1" t="s">
        <v>210</v>
      </c>
      <c r="B104" s="1" t="s">
        <v>75</v>
      </c>
      <c r="C104" s="41" t="str">
        <f t="shared" si="1"/>
        <v>Большой</v>
      </c>
      <c r="D104" s="42">
        <f>VLOOKUP(A104,'Задание 2 (Известные данные)'!$A$2:$D$501,2,FALSE)</f>
        <v>3456789</v>
      </c>
      <c r="E104" s="43">
        <f>ROUND(D104*VLOOKUP(B104,'Задание 2 (Справочник)'!$B$8:$D$12,2,FALSE)/(1-VLOOKUP(B104,'Задание 2 (Справочник)'!$B$8:$D$12,3,FALSE)),0)</f>
        <v>3703703</v>
      </c>
      <c r="F104" s="43">
        <f>VLOOKUP(A104,'Задание 2 (Известные данные)'!$A$2:$D$501,3,FALSE)</f>
        <v>2540740</v>
      </c>
      <c r="G104" s="37">
        <f>F104*VLOOKUP(A104,'Задание 2 (Известные данные)'!$A$2:$D$501,4,FALSE)/1000</f>
        <v>477659.12</v>
      </c>
      <c r="H104" s="43">
        <f>ROUND(E104*VLOOKUP(C104,'Задание 2 (Справочник)'!$B$16:$C$18,2,FALSE),0)</f>
        <v>18519</v>
      </c>
      <c r="I104" s="43">
        <f t="shared" si="2"/>
        <v>239014.75</v>
      </c>
    </row>
    <row r="105" ht="13.5" customHeight="1">
      <c r="A105" s="1" t="s">
        <v>211</v>
      </c>
      <c r="B105" s="1" t="s">
        <v>75</v>
      </c>
      <c r="C105" s="41" t="str">
        <f t="shared" si="1"/>
        <v>Большой</v>
      </c>
      <c r="D105" s="42">
        <f>VLOOKUP(A105,'Задание 2 (Известные данные)'!$A$2:$D$501,2,FALSE)</f>
        <v>4234567</v>
      </c>
      <c r="E105" s="43">
        <f>ROUND(D105*VLOOKUP(B105,'Задание 2 (Справочник)'!$B$8:$D$12,2,FALSE)/(1-VLOOKUP(B105,'Задание 2 (Справочник)'!$B$8:$D$12,3,FALSE)),0)</f>
        <v>4537036</v>
      </c>
      <c r="F105" s="43">
        <f>VLOOKUP(A105,'Задание 2 (Известные данные)'!$A$2:$D$501,3,FALSE)</f>
        <v>3112407</v>
      </c>
      <c r="G105" s="37">
        <f>F105*VLOOKUP(A105,'Задание 2 (Известные данные)'!$A$2:$D$501,4,FALSE)/1000</f>
        <v>606919.365</v>
      </c>
      <c r="H105" s="43">
        <f>ROUND(E105*VLOOKUP(C105,'Задание 2 (Справочник)'!$B$16:$C$18,2,FALSE),0)</f>
        <v>22685</v>
      </c>
      <c r="I105" s="43">
        <f t="shared" si="2"/>
        <v>303686.53</v>
      </c>
    </row>
    <row r="106" ht="13.5" customHeight="1">
      <c r="A106" s="1" t="s">
        <v>212</v>
      </c>
      <c r="B106" s="1" t="s">
        <v>75</v>
      </c>
      <c r="C106" s="41" t="str">
        <f t="shared" si="1"/>
        <v>Большой</v>
      </c>
      <c r="D106" s="42">
        <f>VLOOKUP(A106,'Задание 2 (Известные данные)'!$A$2:$D$501,2,FALSE)</f>
        <v>1987654</v>
      </c>
      <c r="E106" s="43">
        <f>ROUND(D106*VLOOKUP(B106,'Задание 2 (Справочник)'!$B$8:$D$12,2,FALSE)/(1-VLOOKUP(B106,'Задание 2 (Справочник)'!$B$8:$D$12,3,FALSE)),0)</f>
        <v>2129629</v>
      </c>
      <c r="F106" s="43">
        <f>VLOOKUP(A106,'Задание 2 (Известные данные)'!$A$2:$D$501,3,FALSE)</f>
        <v>1460926</v>
      </c>
      <c r="G106" s="37">
        <f>F106*VLOOKUP(A106,'Задание 2 (Известные данные)'!$A$2:$D$501,4,FALSE)/1000</f>
        <v>235209.086</v>
      </c>
      <c r="H106" s="43">
        <f>ROUND(E106*VLOOKUP(C106,'Задание 2 (Справочник)'!$B$16:$C$18,2,FALSE),0)</f>
        <v>10648</v>
      </c>
      <c r="I106" s="43">
        <f t="shared" si="2"/>
        <v>117711.02</v>
      </c>
    </row>
    <row r="107" ht="13.5" customHeight="1">
      <c r="A107" s="1" t="s">
        <v>213</v>
      </c>
      <c r="B107" s="1" t="s">
        <v>75</v>
      </c>
      <c r="C107" s="41" t="str">
        <f t="shared" si="1"/>
        <v>Средний</v>
      </c>
      <c r="D107" s="42">
        <f>VLOOKUP(A107,'Задание 2 (Известные данные)'!$A$2:$D$501,2,FALSE)</f>
        <v>234567</v>
      </c>
      <c r="E107" s="43">
        <f>ROUND(D107*VLOOKUP(B107,'Задание 2 (Справочник)'!$B$8:$D$12,2,FALSE)/(1-VLOOKUP(B107,'Задание 2 (Справочник)'!$B$8:$D$12,3,FALSE)),0)</f>
        <v>251322</v>
      </c>
      <c r="F107" s="43">
        <f>VLOOKUP(A107,'Задание 2 (Известные данные)'!$A$2:$D$501,3,FALSE)</f>
        <v>172407</v>
      </c>
      <c r="G107" s="37">
        <f>F107*VLOOKUP(A107,'Задание 2 (Известные данные)'!$A$2:$D$501,4,FALSE)/1000</f>
        <v>26550.678</v>
      </c>
      <c r="H107" s="43">
        <f>ROUND(E107*VLOOKUP(C107,'Задание 2 (Справочник)'!$B$16:$C$18,2,FALSE),0)</f>
        <v>1885</v>
      </c>
      <c r="I107" s="43">
        <f t="shared" si="2"/>
        <v>13294.19</v>
      </c>
    </row>
    <row r="108" ht="13.5" customHeight="1">
      <c r="A108" s="1" t="s">
        <v>214</v>
      </c>
      <c r="B108" s="1" t="s">
        <v>75</v>
      </c>
      <c r="C108" s="41" t="str">
        <f t="shared" si="1"/>
        <v>Средний</v>
      </c>
      <c r="D108" s="42">
        <f>VLOOKUP(A108,'Задание 2 (Известные данные)'!$A$2:$D$501,2,FALSE)</f>
        <v>345678</v>
      </c>
      <c r="E108" s="43">
        <f>ROUND(D108*VLOOKUP(B108,'Задание 2 (Справочник)'!$B$8:$D$12,2,FALSE)/(1-VLOOKUP(B108,'Задание 2 (Справочник)'!$B$8:$D$12,3,FALSE)),0)</f>
        <v>370369</v>
      </c>
      <c r="F108" s="43">
        <f>VLOOKUP(A108,'Задание 2 (Известные данные)'!$A$2:$D$501,3,FALSE)</f>
        <v>254073</v>
      </c>
      <c r="G108" s="37">
        <f>F108*VLOOKUP(A108,'Задание 2 (Известные данные)'!$A$2:$D$501,4,FALSE)/1000</f>
        <v>42938.337</v>
      </c>
      <c r="H108" s="43">
        <f>ROUND(E108*VLOOKUP(C108,'Задание 2 (Справочник)'!$B$16:$C$18,2,FALSE),0)</f>
        <v>2778</v>
      </c>
      <c r="I108" s="43">
        <f t="shared" si="2"/>
        <v>21496.95</v>
      </c>
    </row>
    <row r="109" ht="13.5" customHeight="1">
      <c r="A109" s="1" t="s">
        <v>215</v>
      </c>
      <c r="B109" s="1" t="s">
        <v>75</v>
      </c>
      <c r="C109" s="41" t="str">
        <f t="shared" si="1"/>
        <v>Средний</v>
      </c>
      <c r="D109" s="42">
        <f>VLOOKUP(A109,'Задание 2 (Известные данные)'!$A$2:$D$501,2,FALSE)</f>
        <v>123456</v>
      </c>
      <c r="E109" s="43">
        <f>ROUND(D109*VLOOKUP(B109,'Задание 2 (Справочник)'!$B$8:$D$12,2,FALSE)/(1-VLOOKUP(B109,'Задание 2 (Справочник)'!$B$8:$D$12,3,FALSE)),0)</f>
        <v>132274</v>
      </c>
      <c r="F109" s="43">
        <f>VLOOKUP(A109,'Задание 2 (Известные данные)'!$A$2:$D$501,3,FALSE)</f>
        <v>90740</v>
      </c>
      <c r="G109" s="37">
        <f>F109*VLOOKUP(A109,'Задание 2 (Известные данные)'!$A$2:$D$501,4,FALSE)/1000</f>
        <v>12885.08</v>
      </c>
      <c r="H109" s="43">
        <f>ROUND(E109*VLOOKUP(C109,'Задание 2 (Справочник)'!$B$16:$C$18,2,FALSE),0)</f>
        <v>992</v>
      </c>
      <c r="I109" s="43">
        <f t="shared" si="2"/>
        <v>6452.46</v>
      </c>
    </row>
    <row r="110" ht="13.5" customHeight="1">
      <c r="A110" s="1" t="s">
        <v>216</v>
      </c>
      <c r="B110" s="1" t="s">
        <v>75</v>
      </c>
      <c r="C110" s="41" t="str">
        <f t="shared" si="1"/>
        <v>Средний</v>
      </c>
      <c r="D110" s="42">
        <f>VLOOKUP(A110,'Задание 2 (Известные данные)'!$A$2:$D$501,2,FALSE)</f>
        <v>456789</v>
      </c>
      <c r="E110" s="43">
        <f>ROUND(D110*VLOOKUP(B110,'Задание 2 (Справочник)'!$B$8:$D$12,2,FALSE)/(1-VLOOKUP(B110,'Задание 2 (Справочник)'!$B$8:$D$12,3,FALSE)),0)</f>
        <v>489417</v>
      </c>
      <c r="F110" s="43">
        <f>VLOOKUP(A110,'Задание 2 (Известные данные)'!$A$2:$D$501,3,FALSE)</f>
        <v>335740</v>
      </c>
      <c r="G110" s="37">
        <f>F110*VLOOKUP(A110,'Задание 2 (Известные данные)'!$A$2:$D$501,4,FALSE)/1000</f>
        <v>59425.98</v>
      </c>
      <c r="H110" s="43">
        <f>ROUND(E110*VLOOKUP(C110,'Задание 2 (Справочник)'!$B$16:$C$18,2,FALSE),0)</f>
        <v>3671</v>
      </c>
      <c r="I110" s="43">
        <f t="shared" si="2"/>
        <v>29749.7</v>
      </c>
    </row>
    <row r="111" ht="13.5" customHeight="1">
      <c r="A111" s="1" t="s">
        <v>217</v>
      </c>
      <c r="B111" s="1" t="s">
        <v>75</v>
      </c>
      <c r="C111" s="41" t="str">
        <f t="shared" si="1"/>
        <v>Средний</v>
      </c>
      <c r="D111" s="42">
        <f>VLOOKUP(A111,'Задание 2 (Известные данные)'!$A$2:$D$501,2,FALSE)</f>
        <v>198765</v>
      </c>
      <c r="E111" s="43">
        <f>ROUND(D111*VLOOKUP(B111,'Задание 2 (Справочник)'!$B$8:$D$12,2,FALSE)/(1-VLOOKUP(B111,'Задание 2 (Справочник)'!$B$8:$D$12,3,FALSE)),0)</f>
        <v>212963</v>
      </c>
      <c r="F111" s="43">
        <f>VLOOKUP(A111,'Задание 2 (Известные данные)'!$A$2:$D$501,3,FALSE)</f>
        <v>146092</v>
      </c>
      <c r="G111" s="37">
        <f>F111*VLOOKUP(A111,'Задание 2 (Известные данные)'!$A$2:$D$501,4,FALSE)/1000</f>
        <v>21767.708</v>
      </c>
      <c r="H111" s="43">
        <f>ROUND(E111*VLOOKUP(C111,'Задание 2 (Справочник)'!$B$16:$C$18,2,FALSE),0)</f>
        <v>1597</v>
      </c>
      <c r="I111" s="43">
        <f t="shared" si="2"/>
        <v>10899.82</v>
      </c>
    </row>
    <row r="112" ht="13.5" customHeight="1">
      <c r="A112" s="1" t="s">
        <v>218</v>
      </c>
      <c r="B112" s="1" t="s">
        <v>75</v>
      </c>
      <c r="C112" s="41" t="str">
        <f t="shared" si="1"/>
        <v>Средний</v>
      </c>
      <c r="D112" s="42">
        <f>VLOOKUP(A112,'Задание 2 (Известные данные)'!$A$2:$D$501,2,FALSE)</f>
        <v>287654</v>
      </c>
      <c r="E112" s="43">
        <f>ROUND(D112*VLOOKUP(B112,'Задание 2 (Справочник)'!$B$8:$D$12,2,FALSE)/(1-VLOOKUP(B112,'Задание 2 (Справочник)'!$B$8:$D$12,3,FALSE)),0)</f>
        <v>308201</v>
      </c>
      <c r="F112" s="43">
        <f>VLOOKUP(A112,'Задание 2 (Известные данные)'!$A$2:$D$501,3,FALSE)</f>
        <v>211426</v>
      </c>
      <c r="G112" s="37">
        <f>F112*VLOOKUP(A112,'Задание 2 (Известные данные)'!$A$2:$D$501,4,FALSE)/1000</f>
        <v>34039.586</v>
      </c>
      <c r="H112" s="43">
        <f>ROUND(E112*VLOOKUP(C112,'Задание 2 (Справочник)'!$B$16:$C$18,2,FALSE),0)</f>
        <v>2312</v>
      </c>
      <c r="I112" s="43">
        <f t="shared" si="2"/>
        <v>17042.91</v>
      </c>
    </row>
    <row r="113" ht="13.5" customHeight="1">
      <c r="A113" s="1" t="s">
        <v>219</v>
      </c>
      <c r="B113" s="1" t="s">
        <v>75</v>
      </c>
      <c r="C113" s="41" t="str">
        <f t="shared" si="1"/>
        <v>Средний</v>
      </c>
      <c r="D113" s="42">
        <f>VLOOKUP(A113,'Задание 2 (Известные данные)'!$A$2:$D$501,2,FALSE)</f>
        <v>165432</v>
      </c>
      <c r="E113" s="43">
        <f>ROUND(D113*VLOOKUP(B113,'Задание 2 (Справочник)'!$B$8:$D$12,2,FALSE)/(1-VLOOKUP(B113,'Задание 2 (Справочник)'!$B$8:$D$12,3,FALSE)),0)</f>
        <v>177249</v>
      </c>
      <c r="F113" s="43">
        <f>VLOOKUP(A113,'Задание 2 (Известные данные)'!$A$2:$D$501,3,FALSE)</f>
        <v>121593</v>
      </c>
      <c r="G113" s="37">
        <f>F113*VLOOKUP(A113,'Задание 2 (Известные данные)'!$A$2:$D$501,4,FALSE)/1000</f>
        <v>17630.985</v>
      </c>
      <c r="H113" s="43">
        <f>ROUND(E113*VLOOKUP(C113,'Задание 2 (Справочник)'!$B$16:$C$18,2,FALSE),0)</f>
        <v>1329</v>
      </c>
      <c r="I113" s="43">
        <f t="shared" si="2"/>
        <v>8828.78</v>
      </c>
    </row>
    <row r="114" ht="13.5" customHeight="1">
      <c r="A114" s="1" t="s">
        <v>220</v>
      </c>
      <c r="B114" s="1" t="s">
        <v>75</v>
      </c>
      <c r="C114" s="41" t="str">
        <f t="shared" si="1"/>
        <v>Средний</v>
      </c>
      <c r="D114" s="42">
        <f>VLOOKUP(A114,'Задание 2 (Известные данные)'!$A$2:$D$501,2,FALSE)</f>
        <v>398761</v>
      </c>
      <c r="E114" s="43">
        <f>ROUND(D114*VLOOKUP(B114,'Задание 2 (Справочник)'!$B$8:$D$12,2,FALSE)/(1-VLOOKUP(B114,'Задание 2 (Справочник)'!$B$8:$D$12,3,FALSE)),0)</f>
        <v>427244</v>
      </c>
      <c r="F114" s="43">
        <f>VLOOKUP(A114,'Задание 2 (Известные данные)'!$A$2:$D$501,3,FALSE)</f>
        <v>293089</v>
      </c>
      <c r="G114" s="37">
        <f>F114*VLOOKUP(A114,'Задание 2 (Известные данные)'!$A$2:$D$501,4,FALSE)/1000</f>
        <v>50411.308</v>
      </c>
      <c r="H114" s="43">
        <f>ROUND(E114*VLOOKUP(C114,'Задание 2 (Справочник)'!$B$16:$C$18,2,FALSE),0)</f>
        <v>3204</v>
      </c>
      <c r="I114" s="43">
        <f t="shared" si="2"/>
        <v>25237.69</v>
      </c>
    </row>
    <row r="115" ht="13.5" customHeight="1">
      <c r="A115" s="1" t="s">
        <v>221</v>
      </c>
      <c r="B115" s="1" t="s">
        <v>75</v>
      </c>
      <c r="C115" s="41" t="str">
        <f t="shared" si="1"/>
        <v>Средний</v>
      </c>
      <c r="D115" s="42">
        <f>VLOOKUP(A115,'Задание 2 (Известные данные)'!$A$2:$D$501,2,FALSE)</f>
        <v>210987</v>
      </c>
      <c r="E115" s="43">
        <f>ROUND(D115*VLOOKUP(B115,'Задание 2 (Справочник)'!$B$8:$D$12,2,FALSE)/(1-VLOOKUP(B115,'Задание 2 (Справочник)'!$B$8:$D$12,3,FALSE)),0)</f>
        <v>226058</v>
      </c>
      <c r="F115" s="43">
        <f>VLOOKUP(A115,'Задание 2 (Известные данные)'!$A$2:$D$501,3,FALSE)</f>
        <v>155075</v>
      </c>
      <c r="G115" s="37">
        <f>F115*VLOOKUP(A115,'Задание 2 (Известные данные)'!$A$2:$D$501,4,FALSE)/1000</f>
        <v>23571.4</v>
      </c>
      <c r="H115" s="43">
        <f>ROUND(E115*VLOOKUP(C115,'Задание 2 (Справочник)'!$B$16:$C$18,2,FALSE),0)</f>
        <v>1695</v>
      </c>
      <c r="I115" s="43">
        <f t="shared" si="2"/>
        <v>11802.65</v>
      </c>
    </row>
    <row r="116" ht="13.5" customHeight="1">
      <c r="A116" s="1" t="s">
        <v>222</v>
      </c>
      <c r="B116" s="1" t="s">
        <v>75</v>
      </c>
      <c r="C116" s="41" t="str">
        <f t="shared" si="1"/>
        <v>Средний</v>
      </c>
      <c r="D116" s="42">
        <f>VLOOKUP(A116,'Задание 2 (Известные данные)'!$A$2:$D$501,2,FALSE)</f>
        <v>321098</v>
      </c>
      <c r="E116" s="43">
        <f>ROUND(D116*VLOOKUP(B116,'Задание 2 (Справочник)'!$B$8:$D$12,2,FALSE)/(1-VLOOKUP(B116,'Задание 2 (Справочник)'!$B$8:$D$12,3,FALSE)),0)</f>
        <v>344034</v>
      </c>
      <c r="F116" s="43">
        <f>VLOOKUP(A116,'Задание 2 (Известные данные)'!$A$2:$D$501,3,FALSE)</f>
        <v>236007</v>
      </c>
      <c r="G116" s="37">
        <f>F116*VLOOKUP(A116,'Задание 2 (Известные данные)'!$A$2:$D$501,4,FALSE)/1000</f>
        <v>38941.155</v>
      </c>
      <c r="H116" s="43">
        <f>ROUND(E116*VLOOKUP(C116,'Задание 2 (Справочник)'!$B$16:$C$18,2,FALSE),0)</f>
        <v>2580</v>
      </c>
      <c r="I116" s="43">
        <f t="shared" si="2"/>
        <v>19496.38</v>
      </c>
    </row>
    <row r="117" ht="13.5" customHeight="1">
      <c r="A117" s="1" t="s">
        <v>223</v>
      </c>
      <c r="B117" s="1" t="s">
        <v>75</v>
      </c>
      <c r="C117" s="41" t="str">
        <f t="shared" si="1"/>
        <v>Средний</v>
      </c>
      <c r="D117" s="42">
        <f>VLOOKUP(A117,'Задание 2 (Известные данные)'!$A$2:$D$501,2,FALSE)</f>
        <v>143210</v>
      </c>
      <c r="E117" s="43">
        <f>ROUND(D117*VLOOKUP(B117,'Задание 2 (Справочник)'!$B$8:$D$12,2,FALSE)/(1-VLOOKUP(B117,'Задание 2 (Справочник)'!$B$8:$D$12,3,FALSE)),0)</f>
        <v>153439</v>
      </c>
      <c r="F117" s="43">
        <f>VLOOKUP(A117,'Задание 2 (Известные данные)'!$A$2:$D$501,3,FALSE)</f>
        <v>105260</v>
      </c>
      <c r="G117" s="37">
        <f>F117*VLOOKUP(A117,'Задание 2 (Известные данные)'!$A$2:$D$501,4,FALSE)/1000</f>
        <v>14841.66</v>
      </c>
      <c r="H117" s="43">
        <f>ROUND(E117*VLOOKUP(C117,'Задание 2 (Справочник)'!$B$16:$C$18,2,FALSE),0)</f>
        <v>1151</v>
      </c>
      <c r="I117" s="43">
        <f t="shared" si="2"/>
        <v>7432.34</v>
      </c>
    </row>
    <row r="118" ht="13.5" customHeight="1">
      <c r="A118" s="1" t="s">
        <v>224</v>
      </c>
      <c r="B118" s="1" t="s">
        <v>75</v>
      </c>
      <c r="C118" s="41" t="str">
        <f t="shared" si="1"/>
        <v>Средний</v>
      </c>
      <c r="D118" s="42">
        <f>VLOOKUP(A118,'Задание 2 (Известные данные)'!$A$2:$D$501,2,FALSE)</f>
        <v>254321</v>
      </c>
      <c r="E118" s="43">
        <f>ROUND(D118*VLOOKUP(B118,'Задание 2 (Справочник)'!$B$8:$D$12,2,FALSE)/(1-VLOOKUP(B118,'Задание 2 (Справочник)'!$B$8:$D$12,3,FALSE)),0)</f>
        <v>272487</v>
      </c>
      <c r="F118" s="43">
        <f>VLOOKUP(A118,'Задание 2 (Известные данные)'!$A$2:$D$501,3,FALSE)</f>
        <v>186926</v>
      </c>
      <c r="G118" s="37">
        <f>F118*VLOOKUP(A118,'Задание 2 (Известные данные)'!$A$2:$D$501,4,FALSE)/1000</f>
        <v>29534.308</v>
      </c>
      <c r="H118" s="43">
        <f>ROUND(E118*VLOOKUP(C118,'Задание 2 (Справочник)'!$B$16:$C$18,2,FALSE),0)</f>
        <v>2044</v>
      </c>
      <c r="I118" s="43">
        <f t="shared" si="2"/>
        <v>14787.59</v>
      </c>
    </row>
    <row r="119" ht="13.5" customHeight="1">
      <c r="A119" s="1" t="s">
        <v>225</v>
      </c>
      <c r="B119" s="1" t="s">
        <v>75</v>
      </c>
      <c r="C119" s="41" t="str">
        <f t="shared" si="1"/>
        <v>Средний</v>
      </c>
      <c r="D119" s="42">
        <f>VLOOKUP(A119,'Задание 2 (Известные данные)'!$A$2:$D$501,2,FALSE)</f>
        <v>367890</v>
      </c>
      <c r="E119" s="43">
        <f>ROUND(D119*VLOOKUP(B119,'Задание 2 (Справочник)'!$B$8:$D$12,2,FALSE)/(1-VLOOKUP(B119,'Задание 2 (Справочник)'!$B$8:$D$12,3,FALSE)),0)</f>
        <v>394168</v>
      </c>
      <c r="F119" s="43">
        <f>VLOOKUP(A119,'Задание 2 (Известные данные)'!$A$2:$D$501,3,FALSE)</f>
        <v>270400</v>
      </c>
      <c r="G119" s="37">
        <f>F119*VLOOKUP(A119,'Задание 2 (Известные данные)'!$A$2:$D$501,4,FALSE)/1000</f>
        <v>47049.6</v>
      </c>
      <c r="H119" s="43">
        <f>ROUND(E119*VLOOKUP(C119,'Задание 2 (Справочник)'!$B$16:$C$18,2,FALSE),0)</f>
        <v>2956</v>
      </c>
      <c r="I119" s="43">
        <f t="shared" si="2"/>
        <v>23554.36</v>
      </c>
    </row>
    <row r="120" ht="13.5" customHeight="1">
      <c r="A120" s="1" t="s">
        <v>226</v>
      </c>
      <c r="B120" s="1" t="s">
        <v>75</v>
      </c>
      <c r="C120" s="41" t="str">
        <f t="shared" si="1"/>
        <v>Средний</v>
      </c>
      <c r="D120" s="42">
        <f>VLOOKUP(A120,'Задание 2 (Известные данные)'!$A$2:$D$501,2,FALSE)</f>
        <v>176543</v>
      </c>
      <c r="E120" s="43">
        <f>ROUND(D120*VLOOKUP(B120,'Задание 2 (Справочник)'!$B$8:$D$12,2,FALSE)/(1-VLOOKUP(B120,'Задание 2 (Справочник)'!$B$8:$D$12,3,FALSE)),0)</f>
        <v>189153</v>
      </c>
      <c r="F120" s="43">
        <f>VLOOKUP(A120,'Задание 2 (Известные данные)'!$A$2:$D$501,3,FALSE)</f>
        <v>129759</v>
      </c>
      <c r="G120" s="37">
        <f>F120*VLOOKUP(A120,'Задание 2 (Известные данные)'!$A$2:$D$501,4,FALSE)/1000</f>
        <v>19074.573</v>
      </c>
      <c r="H120" s="43">
        <f>ROUND(E120*VLOOKUP(C120,'Задание 2 (Справочник)'!$B$16:$C$18,2,FALSE),0)</f>
        <v>1419</v>
      </c>
      <c r="I120" s="43">
        <f t="shared" si="2"/>
        <v>9551.48</v>
      </c>
    </row>
    <row r="121" ht="13.5" customHeight="1">
      <c r="A121" s="1" t="s">
        <v>227</v>
      </c>
      <c r="B121" s="1" t="s">
        <v>75</v>
      </c>
      <c r="C121" s="41" t="str">
        <f t="shared" si="1"/>
        <v>Средний</v>
      </c>
      <c r="D121" s="42">
        <f>VLOOKUP(A121,'Задание 2 (Известные данные)'!$A$2:$D$501,2,FALSE)</f>
        <v>289765</v>
      </c>
      <c r="E121" s="43">
        <f>ROUND(D121*VLOOKUP(B121,'Задание 2 (Справочник)'!$B$8:$D$12,2,FALSE)/(1-VLOOKUP(B121,'Задание 2 (Справочник)'!$B$8:$D$12,3,FALSE)),0)</f>
        <v>310463</v>
      </c>
      <c r="F121" s="43">
        <f>VLOOKUP(A121,'Задание 2 (Известные данные)'!$A$2:$D$501,3,FALSE)</f>
        <v>212977</v>
      </c>
      <c r="G121" s="37">
        <f>F121*VLOOKUP(A121,'Задание 2 (Известные данные)'!$A$2:$D$501,4,FALSE)/1000</f>
        <v>34502.274</v>
      </c>
      <c r="H121" s="43">
        <f>ROUND(E121*VLOOKUP(C121,'Задание 2 (Справочник)'!$B$16:$C$18,2,FALSE),0)</f>
        <v>2328</v>
      </c>
      <c r="I121" s="43">
        <f t="shared" si="2"/>
        <v>17274.42</v>
      </c>
    </row>
    <row r="122" ht="13.5" customHeight="1">
      <c r="A122" s="1" t="s">
        <v>228</v>
      </c>
      <c r="B122" s="1" t="s">
        <v>75</v>
      </c>
      <c r="C122" s="41" t="str">
        <f t="shared" si="1"/>
        <v>Средний</v>
      </c>
      <c r="D122" s="42">
        <f>VLOOKUP(A122,'Задание 2 (Известные данные)'!$A$2:$D$501,2,FALSE)</f>
        <v>198543</v>
      </c>
      <c r="E122" s="43">
        <f>ROUND(D122*VLOOKUP(B122,'Задание 2 (Справочник)'!$B$8:$D$12,2,FALSE)/(1-VLOOKUP(B122,'Задание 2 (Справочник)'!$B$8:$D$12,3,FALSE)),0)</f>
        <v>212725</v>
      </c>
      <c r="F122" s="43">
        <f>VLOOKUP(A122,'Задание 2 (Известные данные)'!$A$2:$D$501,3,FALSE)</f>
        <v>145929</v>
      </c>
      <c r="G122" s="37">
        <f>F122*VLOOKUP(A122,'Задание 2 (Известные данные)'!$A$2:$D$501,4,FALSE)/1000</f>
        <v>21889.35</v>
      </c>
      <c r="H122" s="43">
        <f>ROUND(E122*VLOOKUP(C122,'Задание 2 (Справочник)'!$B$16:$C$18,2,FALSE),0)</f>
        <v>1595</v>
      </c>
      <c r="I122" s="43">
        <f t="shared" si="2"/>
        <v>10960.63</v>
      </c>
    </row>
    <row r="123" ht="13.5" customHeight="1">
      <c r="A123" s="1" t="s">
        <v>229</v>
      </c>
      <c r="B123" s="1" t="s">
        <v>75</v>
      </c>
      <c r="C123" s="41" t="str">
        <f t="shared" si="1"/>
        <v>Средний</v>
      </c>
      <c r="D123" s="42">
        <f>VLOOKUP(A123,'Задание 2 (Известные данные)'!$A$2:$D$501,2,FALSE)</f>
        <v>312987</v>
      </c>
      <c r="E123" s="43">
        <f>ROUND(D123*VLOOKUP(B123,'Задание 2 (Справочник)'!$B$8:$D$12,2,FALSE)/(1-VLOOKUP(B123,'Задание 2 (Справочник)'!$B$8:$D$12,3,FALSE)),0)</f>
        <v>335343</v>
      </c>
      <c r="F123" s="43">
        <f>VLOOKUP(A123,'Задание 2 (Известные данные)'!$A$2:$D$501,3,FALSE)</f>
        <v>230045</v>
      </c>
      <c r="G123" s="37">
        <f>F123*VLOOKUP(A123,'Задание 2 (Известные данные)'!$A$2:$D$501,4,FALSE)/1000</f>
        <v>38417.515</v>
      </c>
      <c r="H123" s="43">
        <f>ROUND(E123*VLOOKUP(C123,'Задание 2 (Справочник)'!$B$16:$C$18,2,FALSE),0)</f>
        <v>2515</v>
      </c>
      <c r="I123" s="43">
        <f t="shared" si="2"/>
        <v>19233.91</v>
      </c>
    </row>
    <row r="124" ht="13.5" customHeight="1">
      <c r="A124" s="1" t="s">
        <v>230</v>
      </c>
      <c r="B124" s="1" t="s">
        <v>75</v>
      </c>
      <c r="C124" s="41" t="str">
        <f t="shared" si="1"/>
        <v>Средний</v>
      </c>
      <c r="D124" s="42">
        <f>VLOOKUP(A124,'Задание 2 (Известные данные)'!$A$2:$D$501,2,FALSE)</f>
        <v>134567</v>
      </c>
      <c r="E124" s="43">
        <f>ROUND(D124*VLOOKUP(B124,'Задание 2 (Справочник)'!$B$8:$D$12,2,FALSE)/(1-VLOOKUP(B124,'Задание 2 (Справочник)'!$B$8:$D$12,3,FALSE)),0)</f>
        <v>144179</v>
      </c>
      <c r="F124" s="43">
        <f>VLOOKUP(A124,'Задание 2 (Известные данные)'!$A$2:$D$501,3,FALSE)</f>
        <v>98907</v>
      </c>
      <c r="G124" s="37">
        <f>F124*VLOOKUP(A124,'Задание 2 (Известные данные)'!$A$2:$D$501,4,FALSE)/1000</f>
        <v>13846.98</v>
      </c>
      <c r="H124" s="43">
        <f>ROUND(E124*VLOOKUP(C124,'Задание 2 (Справочник)'!$B$16:$C$18,2,FALSE),0)</f>
        <v>1081</v>
      </c>
      <c r="I124" s="43">
        <f t="shared" si="2"/>
        <v>6934.3</v>
      </c>
    </row>
    <row r="125" ht="13.5" customHeight="1">
      <c r="A125" s="1" t="s">
        <v>231</v>
      </c>
      <c r="B125" s="1" t="s">
        <v>75</v>
      </c>
      <c r="C125" s="41" t="str">
        <f t="shared" si="1"/>
        <v>Средний</v>
      </c>
      <c r="D125" s="42">
        <f>VLOOKUP(A125,'Задание 2 (Известные данные)'!$A$2:$D$501,2,FALSE)</f>
        <v>276543</v>
      </c>
      <c r="E125" s="43">
        <f>ROUND(D125*VLOOKUP(B125,'Задание 2 (Справочник)'!$B$8:$D$12,2,FALSE)/(1-VLOOKUP(B125,'Задание 2 (Справочник)'!$B$8:$D$12,3,FALSE)),0)</f>
        <v>296296</v>
      </c>
      <c r="F125" s="43">
        <f>VLOOKUP(A125,'Задание 2 (Известные данные)'!$A$2:$D$501,3,FALSE)</f>
        <v>203259</v>
      </c>
      <c r="G125" s="37">
        <f>F125*VLOOKUP(A125,'Задание 2 (Известные данные)'!$A$2:$D$501,4,FALSE)/1000</f>
        <v>32318.181</v>
      </c>
      <c r="H125" s="43">
        <f>ROUND(E125*VLOOKUP(C125,'Задание 2 (Справочник)'!$B$16:$C$18,2,FALSE),0)</f>
        <v>2222</v>
      </c>
      <c r="I125" s="43">
        <f t="shared" si="2"/>
        <v>16181.31</v>
      </c>
    </row>
    <row r="126" ht="13.5" customHeight="1">
      <c r="A126" s="1" t="s">
        <v>232</v>
      </c>
      <c r="B126" s="1" t="s">
        <v>75</v>
      </c>
      <c r="C126" s="41" t="str">
        <f t="shared" si="1"/>
        <v>Средний</v>
      </c>
      <c r="D126" s="42">
        <f>VLOOKUP(A126,'Задание 2 (Известные данные)'!$A$2:$D$501,2,FALSE)</f>
        <v>154321</v>
      </c>
      <c r="E126" s="43">
        <f>ROUND(D126*VLOOKUP(B126,'Задание 2 (Справочник)'!$B$8:$D$12,2,FALSE)/(1-VLOOKUP(B126,'Задание 2 (Справочник)'!$B$8:$D$12,3,FALSE)),0)</f>
        <v>165344</v>
      </c>
      <c r="F126" s="43">
        <f>VLOOKUP(A126,'Задание 2 (Известные данные)'!$A$2:$D$501,3,FALSE)</f>
        <v>113426</v>
      </c>
      <c r="G126" s="37">
        <f>F126*VLOOKUP(A126,'Задание 2 (Известные данные)'!$A$2:$D$501,4,FALSE)/1000</f>
        <v>16333.344</v>
      </c>
      <c r="H126" s="43">
        <f>ROUND(E126*VLOOKUP(C126,'Задание 2 (Справочник)'!$B$16:$C$18,2,FALSE),0)</f>
        <v>1240</v>
      </c>
      <c r="I126" s="43">
        <f t="shared" si="2"/>
        <v>8179.07</v>
      </c>
    </row>
    <row r="127" ht="13.5" customHeight="1">
      <c r="A127" s="1" t="s">
        <v>233</v>
      </c>
      <c r="B127" s="1" t="s">
        <v>75</v>
      </c>
      <c r="C127" s="41" t="str">
        <f t="shared" si="1"/>
        <v>Средний</v>
      </c>
      <c r="D127" s="42">
        <f>VLOOKUP(A127,'Задание 2 (Известные данные)'!$A$2:$D$501,2,FALSE)</f>
        <v>298761</v>
      </c>
      <c r="E127" s="43">
        <f>ROUND(D127*VLOOKUP(B127,'Задание 2 (Справочник)'!$B$8:$D$12,2,FALSE)/(1-VLOOKUP(B127,'Задание 2 (Справочник)'!$B$8:$D$12,3,FALSE)),0)</f>
        <v>320101</v>
      </c>
      <c r="F127" s="43">
        <f>VLOOKUP(A127,'Задание 2 (Известные данные)'!$A$2:$D$501,3,FALSE)</f>
        <v>219589</v>
      </c>
      <c r="G127" s="37">
        <f>F127*VLOOKUP(A127,'Задание 2 (Известные данные)'!$A$2:$D$501,4,FALSE)/1000</f>
        <v>36012.596</v>
      </c>
      <c r="H127" s="43">
        <f>ROUND(E127*VLOOKUP(C127,'Задание 2 (Справочник)'!$B$16:$C$18,2,FALSE),0)</f>
        <v>2401</v>
      </c>
      <c r="I127" s="43">
        <f t="shared" si="2"/>
        <v>18030.31</v>
      </c>
    </row>
    <row r="128" ht="13.5" customHeight="1">
      <c r="A128" s="1" t="s">
        <v>234</v>
      </c>
      <c r="B128" s="1" t="s">
        <v>75</v>
      </c>
      <c r="C128" s="41" t="str">
        <f t="shared" si="1"/>
        <v>Средний</v>
      </c>
      <c r="D128" s="42">
        <f>VLOOKUP(A128,'Задание 2 (Известные данные)'!$A$2:$D$501,2,FALSE)</f>
        <v>187654</v>
      </c>
      <c r="E128" s="43">
        <f>ROUND(D128*VLOOKUP(B128,'Задание 2 (Справочник)'!$B$8:$D$12,2,FALSE)/(1-VLOOKUP(B128,'Задание 2 (Справочник)'!$B$8:$D$12,3,FALSE)),0)</f>
        <v>201058</v>
      </c>
      <c r="F128" s="43">
        <f>VLOOKUP(A128,'Задание 2 (Известные данные)'!$A$2:$D$501,3,FALSE)</f>
        <v>137926</v>
      </c>
      <c r="G128" s="37">
        <f>F128*VLOOKUP(A128,'Задание 2 (Известные данные)'!$A$2:$D$501,4,FALSE)/1000</f>
        <v>20413.048</v>
      </c>
      <c r="H128" s="43">
        <f>ROUND(E128*VLOOKUP(C128,'Задание 2 (Справочник)'!$B$16:$C$18,2,FALSE),0)</f>
        <v>1508</v>
      </c>
      <c r="I128" s="43">
        <f t="shared" si="2"/>
        <v>10221.6</v>
      </c>
    </row>
    <row r="129" ht="13.5" customHeight="1">
      <c r="A129" s="1" t="s">
        <v>235</v>
      </c>
      <c r="B129" s="1" t="s">
        <v>75</v>
      </c>
      <c r="C129" s="41" t="str">
        <f t="shared" si="1"/>
        <v>Средний</v>
      </c>
      <c r="D129" s="42">
        <f>VLOOKUP(A129,'Задание 2 (Известные данные)'!$A$2:$D$501,2,FALSE)</f>
        <v>345210</v>
      </c>
      <c r="E129" s="43">
        <f>ROUND(D129*VLOOKUP(B129,'Задание 2 (Справочник)'!$B$8:$D$12,2,FALSE)/(1-VLOOKUP(B129,'Задание 2 (Справочник)'!$B$8:$D$12,3,FALSE)),0)</f>
        <v>369868</v>
      </c>
      <c r="F129" s="43">
        <f>VLOOKUP(A129,'Задание 2 (Известные данные)'!$A$2:$D$501,3,FALSE)</f>
        <v>253730</v>
      </c>
      <c r="G129" s="37">
        <f>F129*VLOOKUP(A129,'Задание 2 (Известные данные)'!$A$2:$D$501,4,FALSE)/1000</f>
        <v>43134.1</v>
      </c>
      <c r="H129" s="43">
        <f>ROUND(E129*VLOOKUP(C129,'Задание 2 (Справочник)'!$B$16:$C$18,2,FALSE),0)</f>
        <v>2774</v>
      </c>
      <c r="I129" s="43">
        <f t="shared" si="2"/>
        <v>21594.79</v>
      </c>
    </row>
    <row r="130" ht="13.5" customHeight="1">
      <c r="A130" s="1" t="s">
        <v>236</v>
      </c>
      <c r="B130" s="1" t="s">
        <v>75</v>
      </c>
      <c r="C130" s="41" t="str">
        <f t="shared" si="1"/>
        <v>Средний</v>
      </c>
      <c r="D130" s="42">
        <f>VLOOKUP(A130,'Задание 2 (Известные данные)'!$A$2:$D$501,2,FALSE)</f>
        <v>165432</v>
      </c>
      <c r="E130" s="43">
        <f>ROUND(D130*VLOOKUP(B130,'Задание 2 (Справочник)'!$B$8:$D$12,2,FALSE)/(1-VLOOKUP(B130,'Задание 2 (Справочник)'!$B$8:$D$12,3,FALSE)),0)</f>
        <v>177249</v>
      </c>
      <c r="F130" s="43">
        <f>VLOOKUP(A130,'Задание 2 (Известные данные)'!$A$2:$D$501,3,FALSE)</f>
        <v>121593</v>
      </c>
      <c r="G130" s="37">
        <f>F130*VLOOKUP(A130,'Задание 2 (Известные данные)'!$A$2:$D$501,4,FALSE)/1000</f>
        <v>17752.578</v>
      </c>
      <c r="H130" s="43">
        <f>ROUND(E130*VLOOKUP(C130,'Задание 2 (Справочник)'!$B$16:$C$18,2,FALSE),0)</f>
        <v>1329</v>
      </c>
      <c r="I130" s="43">
        <f t="shared" si="2"/>
        <v>8889.58</v>
      </c>
    </row>
    <row r="131" ht="13.5" customHeight="1">
      <c r="A131" s="1" t="s">
        <v>237</v>
      </c>
      <c r="B131" s="1" t="s">
        <v>75</v>
      </c>
      <c r="C131" s="41" t="str">
        <f t="shared" si="1"/>
        <v>Средний</v>
      </c>
      <c r="D131" s="42">
        <f>VLOOKUP(A131,'Задание 2 (Известные данные)'!$A$2:$D$501,2,FALSE)</f>
        <v>278901</v>
      </c>
      <c r="E131" s="43">
        <f>ROUND(D131*VLOOKUP(B131,'Задание 2 (Справочник)'!$B$8:$D$12,2,FALSE)/(1-VLOOKUP(B131,'Задание 2 (Справочник)'!$B$8:$D$12,3,FALSE)),0)</f>
        <v>298823</v>
      </c>
      <c r="F131" s="43">
        <f>VLOOKUP(A131,'Задание 2 (Известные данные)'!$A$2:$D$501,3,FALSE)</f>
        <v>204992</v>
      </c>
      <c r="G131" s="37">
        <f>F131*VLOOKUP(A131,'Задание 2 (Известные данные)'!$A$2:$D$501,4,FALSE)/1000</f>
        <v>32798.72</v>
      </c>
      <c r="H131" s="43">
        <f>ROUND(E131*VLOOKUP(C131,'Задание 2 (Справочник)'!$B$16:$C$18,2,FALSE),0)</f>
        <v>2241</v>
      </c>
      <c r="I131" s="43">
        <f t="shared" si="2"/>
        <v>16421.77</v>
      </c>
    </row>
    <row r="132" ht="13.5" customHeight="1">
      <c r="A132" s="1" t="s">
        <v>238</v>
      </c>
      <c r="B132" s="1" t="s">
        <v>75</v>
      </c>
      <c r="C132" s="41" t="str">
        <f t="shared" si="1"/>
        <v>Средний</v>
      </c>
      <c r="D132" s="42">
        <f>VLOOKUP(A132,'Задание 2 (Известные данные)'!$A$2:$D$501,2,FALSE)</f>
        <v>199876</v>
      </c>
      <c r="E132" s="43">
        <f>ROUND(D132*VLOOKUP(B132,'Задание 2 (Справочник)'!$B$8:$D$12,2,FALSE)/(1-VLOOKUP(B132,'Задание 2 (Справочник)'!$B$8:$D$12,3,FALSE)),0)</f>
        <v>214153</v>
      </c>
      <c r="F132" s="43">
        <f>VLOOKUP(A132,'Задание 2 (Известные данные)'!$A$2:$D$501,3,FALSE)</f>
        <v>146909</v>
      </c>
      <c r="G132" s="37">
        <f>F132*VLOOKUP(A132,'Задание 2 (Известные данные)'!$A$2:$D$501,4,FALSE)/1000</f>
        <v>22183.259</v>
      </c>
      <c r="H132" s="43">
        <f>ROUND(E132*VLOOKUP(C132,'Задание 2 (Справочник)'!$B$16:$C$18,2,FALSE),0)</f>
        <v>1606</v>
      </c>
      <c r="I132" s="43">
        <f t="shared" si="2"/>
        <v>11107.69</v>
      </c>
    </row>
    <row r="133" ht="13.5" customHeight="1">
      <c r="A133" s="1" t="s">
        <v>239</v>
      </c>
      <c r="B133" s="1" t="s">
        <v>75</v>
      </c>
      <c r="C133" s="41" t="str">
        <f t="shared" si="1"/>
        <v>Средний</v>
      </c>
      <c r="D133" s="42">
        <f>VLOOKUP(A133,'Задание 2 (Известные данные)'!$A$2:$D$501,2,FALSE)</f>
        <v>312345</v>
      </c>
      <c r="E133" s="43">
        <f>ROUND(D133*VLOOKUP(B133,'Задание 2 (Справочник)'!$B$8:$D$12,2,FALSE)/(1-VLOOKUP(B133,'Задание 2 (Справочник)'!$B$8:$D$12,3,FALSE)),0)</f>
        <v>334655</v>
      </c>
      <c r="F133" s="43">
        <f>VLOOKUP(A133,'Задание 2 (Известные данные)'!$A$2:$D$501,3,FALSE)</f>
        <v>229573</v>
      </c>
      <c r="G133" s="37">
        <f>F133*VLOOKUP(A133,'Задание 2 (Известные данные)'!$A$2:$D$501,4,FALSE)/1000</f>
        <v>38109.118</v>
      </c>
      <c r="H133" s="43">
        <f>ROUND(E133*VLOOKUP(C133,'Задание 2 (Справочник)'!$B$16:$C$18,2,FALSE),0)</f>
        <v>2510</v>
      </c>
      <c r="I133" s="43">
        <f t="shared" si="2"/>
        <v>19079.66</v>
      </c>
    </row>
    <row r="134" ht="13.5" customHeight="1">
      <c r="A134" s="1" t="s">
        <v>240</v>
      </c>
      <c r="B134" s="1" t="s">
        <v>75</v>
      </c>
      <c r="C134" s="41" t="str">
        <f t="shared" si="1"/>
        <v>Средний</v>
      </c>
      <c r="D134" s="42">
        <f>VLOOKUP(A134,'Задание 2 (Известные данные)'!$A$2:$D$501,2,FALSE)</f>
        <v>134567</v>
      </c>
      <c r="E134" s="43">
        <f>ROUND(D134*VLOOKUP(B134,'Задание 2 (Справочник)'!$B$8:$D$12,2,FALSE)/(1-VLOOKUP(B134,'Задание 2 (Справочник)'!$B$8:$D$12,3,FALSE)),0)</f>
        <v>144179</v>
      </c>
      <c r="F134" s="43">
        <f>VLOOKUP(A134,'Задание 2 (Известные данные)'!$A$2:$D$501,3,FALSE)</f>
        <v>98907</v>
      </c>
      <c r="G134" s="37">
        <f>F134*VLOOKUP(A134,'Задание 2 (Известные данные)'!$A$2:$D$501,4,FALSE)/1000</f>
        <v>14143.701</v>
      </c>
      <c r="H134" s="43">
        <f>ROUND(E134*VLOOKUP(C134,'Задание 2 (Справочник)'!$B$16:$C$18,2,FALSE),0)</f>
        <v>1081</v>
      </c>
      <c r="I134" s="43">
        <f t="shared" si="2"/>
        <v>7082.66</v>
      </c>
    </row>
    <row r="135" ht="13.5" customHeight="1">
      <c r="A135" s="1" t="s">
        <v>241</v>
      </c>
      <c r="B135" s="1" t="s">
        <v>75</v>
      </c>
      <c r="C135" s="41" t="str">
        <f t="shared" si="1"/>
        <v>Средний</v>
      </c>
      <c r="D135" s="42">
        <f>VLOOKUP(A135,'Задание 2 (Известные данные)'!$A$2:$D$501,2,FALSE)</f>
        <v>276543</v>
      </c>
      <c r="E135" s="43">
        <f>ROUND(D135*VLOOKUP(B135,'Задание 2 (Справочник)'!$B$8:$D$12,2,FALSE)/(1-VLOOKUP(B135,'Задание 2 (Справочник)'!$B$8:$D$12,3,FALSE)),0)</f>
        <v>296296</v>
      </c>
      <c r="F135" s="43">
        <f>VLOOKUP(A135,'Задание 2 (Известные данные)'!$A$2:$D$501,3,FALSE)</f>
        <v>203259</v>
      </c>
      <c r="G135" s="37">
        <f>F135*VLOOKUP(A135,'Задание 2 (Известные данные)'!$A$2:$D$501,4,FALSE)/1000</f>
        <v>31911.663</v>
      </c>
      <c r="H135" s="43">
        <f>ROUND(E135*VLOOKUP(C135,'Задание 2 (Справочник)'!$B$16:$C$18,2,FALSE),0)</f>
        <v>2222</v>
      </c>
      <c r="I135" s="43">
        <f t="shared" si="2"/>
        <v>15978.05</v>
      </c>
    </row>
    <row r="136" ht="13.5" customHeight="1">
      <c r="A136" s="1" t="s">
        <v>242</v>
      </c>
      <c r="B136" s="1" t="s">
        <v>75</v>
      </c>
      <c r="C136" s="41" t="str">
        <f t="shared" si="1"/>
        <v>Средний</v>
      </c>
      <c r="D136" s="42">
        <f>VLOOKUP(A136,'Задание 2 (Известные данные)'!$A$2:$D$501,2,FALSE)</f>
        <v>154321</v>
      </c>
      <c r="E136" s="43">
        <f>ROUND(D136*VLOOKUP(B136,'Задание 2 (Справочник)'!$B$8:$D$12,2,FALSE)/(1-VLOOKUP(B136,'Задание 2 (Справочник)'!$B$8:$D$12,3,FALSE)),0)</f>
        <v>165344</v>
      </c>
      <c r="F136" s="43">
        <f>VLOOKUP(A136,'Задание 2 (Известные данные)'!$A$2:$D$501,3,FALSE)</f>
        <v>113426</v>
      </c>
      <c r="G136" s="37">
        <f>F136*VLOOKUP(A136,'Задание 2 (Известные данные)'!$A$2:$D$501,4,FALSE)/1000</f>
        <v>16446.77</v>
      </c>
      <c r="H136" s="43">
        <f>ROUND(E136*VLOOKUP(C136,'Задание 2 (Справочник)'!$B$16:$C$18,2,FALSE),0)</f>
        <v>1240</v>
      </c>
      <c r="I136" s="43">
        <f t="shared" si="2"/>
        <v>8235.79</v>
      </c>
    </row>
    <row r="137" ht="13.5" customHeight="1">
      <c r="A137" s="1" t="s">
        <v>243</v>
      </c>
      <c r="B137" s="1" t="s">
        <v>75</v>
      </c>
      <c r="C137" s="41" t="str">
        <f t="shared" si="1"/>
        <v>Средний</v>
      </c>
      <c r="D137" s="42">
        <f>VLOOKUP(A137,'Задание 2 (Известные данные)'!$A$2:$D$501,2,FALSE)</f>
        <v>298761</v>
      </c>
      <c r="E137" s="43">
        <f>ROUND(D137*VLOOKUP(B137,'Задание 2 (Справочник)'!$B$8:$D$12,2,FALSE)/(1-VLOOKUP(B137,'Задание 2 (Справочник)'!$B$8:$D$12,3,FALSE)),0)</f>
        <v>320101</v>
      </c>
      <c r="F137" s="43">
        <f>VLOOKUP(A137,'Задание 2 (Известные данные)'!$A$2:$D$501,3,FALSE)</f>
        <v>219589</v>
      </c>
      <c r="G137" s="37">
        <f>F137*VLOOKUP(A137,'Задание 2 (Известные данные)'!$A$2:$D$501,4,FALSE)/1000</f>
        <v>35793.007</v>
      </c>
      <c r="H137" s="43">
        <f>ROUND(E137*VLOOKUP(C137,'Задание 2 (Справочник)'!$B$16:$C$18,2,FALSE),0)</f>
        <v>2401</v>
      </c>
      <c r="I137" s="43">
        <f t="shared" si="2"/>
        <v>17920.51</v>
      </c>
    </row>
    <row r="138" ht="13.5" customHeight="1">
      <c r="A138" s="1" t="s">
        <v>244</v>
      </c>
      <c r="B138" s="1" t="s">
        <v>75</v>
      </c>
      <c r="C138" s="41" t="str">
        <f t="shared" si="1"/>
        <v>Средний</v>
      </c>
      <c r="D138" s="42">
        <f>VLOOKUP(A138,'Задание 2 (Известные данные)'!$A$2:$D$501,2,FALSE)</f>
        <v>187654</v>
      </c>
      <c r="E138" s="43">
        <f>ROUND(D138*VLOOKUP(B138,'Задание 2 (Справочник)'!$B$8:$D$12,2,FALSE)/(1-VLOOKUP(B138,'Задание 2 (Справочник)'!$B$8:$D$12,3,FALSE)),0)</f>
        <v>201058</v>
      </c>
      <c r="F138" s="43">
        <f>VLOOKUP(A138,'Задание 2 (Известные данные)'!$A$2:$D$501,3,FALSE)</f>
        <v>137926</v>
      </c>
      <c r="G138" s="37">
        <f>F138*VLOOKUP(A138,'Задание 2 (Известные данные)'!$A$2:$D$501,4,FALSE)/1000</f>
        <v>20550.974</v>
      </c>
      <c r="H138" s="43">
        <f>ROUND(E138*VLOOKUP(C138,'Задание 2 (Справочник)'!$B$16:$C$18,2,FALSE),0)</f>
        <v>1508</v>
      </c>
      <c r="I138" s="43">
        <f t="shared" si="2"/>
        <v>10290.57</v>
      </c>
    </row>
    <row r="139" ht="13.5" customHeight="1">
      <c r="A139" s="1" t="s">
        <v>245</v>
      </c>
      <c r="B139" s="1" t="s">
        <v>75</v>
      </c>
      <c r="C139" s="41" t="str">
        <f t="shared" si="1"/>
        <v>Средний</v>
      </c>
      <c r="D139" s="42">
        <f>VLOOKUP(A139,'Задание 2 (Известные данные)'!$A$2:$D$501,2,FALSE)</f>
        <v>345210</v>
      </c>
      <c r="E139" s="43">
        <f>ROUND(D139*VLOOKUP(B139,'Задание 2 (Справочник)'!$B$8:$D$12,2,FALSE)/(1-VLOOKUP(B139,'Задание 2 (Справочник)'!$B$8:$D$12,3,FALSE)),0)</f>
        <v>369868</v>
      </c>
      <c r="F139" s="43">
        <f>VLOOKUP(A139,'Задание 2 (Известные данные)'!$A$2:$D$501,3,FALSE)</f>
        <v>253730</v>
      </c>
      <c r="G139" s="37">
        <f>F139*VLOOKUP(A139,'Задание 2 (Известные данные)'!$A$2:$D$501,4,FALSE)/1000</f>
        <v>43387.83</v>
      </c>
      <c r="H139" s="43">
        <f>ROUND(E139*VLOOKUP(C139,'Задание 2 (Справочник)'!$B$16:$C$18,2,FALSE),0)</f>
        <v>2774</v>
      </c>
      <c r="I139" s="43">
        <f t="shared" si="2"/>
        <v>21721.66</v>
      </c>
    </row>
    <row r="140" ht="13.5" customHeight="1">
      <c r="A140" s="1" t="s">
        <v>246</v>
      </c>
      <c r="B140" s="1" t="s">
        <v>75</v>
      </c>
      <c r="C140" s="41" t="str">
        <f t="shared" si="1"/>
        <v>Средний</v>
      </c>
      <c r="D140" s="42">
        <f>VLOOKUP(A140,'Задание 2 (Известные данные)'!$A$2:$D$501,2,FALSE)</f>
        <v>165432</v>
      </c>
      <c r="E140" s="43">
        <f>ROUND(D140*VLOOKUP(B140,'Задание 2 (Справочник)'!$B$8:$D$12,2,FALSE)/(1-VLOOKUP(B140,'Задание 2 (Справочник)'!$B$8:$D$12,3,FALSE)),0)</f>
        <v>177249</v>
      </c>
      <c r="F140" s="43">
        <f>VLOOKUP(A140,'Задание 2 (Известные данные)'!$A$2:$D$501,3,FALSE)</f>
        <v>121593</v>
      </c>
      <c r="G140" s="37">
        <f>F140*VLOOKUP(A140,'Задание 2 (Известные данные)'!$A$2:$D$501,4,FALSE)/1000</f>
        <v>17874.171</v>
      </c>
      <c r="H140" s="43">
        <f>ROUND(E140*VLOOKUP(C140,'Задание 2 (Справочник)'!$B$16:$C$18,2,FALSE),0)</f>
        <v>1329</v>
      </c>
      <c r="I140" s="43">
        <f t="shared" si="2"/>
        <v>8950.38</v>
      </c>
    </row>
    <row r="141" ht="13.5" customHeight="1">
      <c r="A141" s="1" t="s">
        <v>247</v>
      </c>
      <c r="B141" s="1" t="s">
        <v>75</v>
      </c>
      <c r="C141" s="41" t="str">
        <f t="shared" si="1"/>
        <v>Средний</v>
      </c>
      <c r="D141" s="42">
        <f>VLOOKUP(A141,'Задание 2 (Известные данные)'!$A$2:$D$501,2,FALSE)</f>
        <v>278901</v>
      </c>
      <c r="E141" s="43">
        <f>ROUND(D141*VLOOKUP(B141,'Задание 2 (Справочник)'!$B$8:$D$12,2,FALSE)/(1-VLOOKUP(B141,'Задание 2 (Справочник)'!$B$8:$D$12,3,FALSE)),0)</f>
        <v>298823</v>
      </c>
      <c r="F141" s="43">
        <f>VLOOKUP(A141,'Задание 2 (Известные данные)'!$A$2:$D$501,3,FALSE)</f>
        <v>204992</v>
      </c>
      <c r="G141" s="37">
        <f>F141*VLOOKUP(A141,'Задание 2 (Известные данные)'!$A$2:$D$501,4,FALSE)/1000</f>
        <v>32593.728</v>
      </c>
      <c r="H141" s="43">
        <f>ROUND(E141*VLOOKUP(C141,'Задание 2 (Справочник)'!$B$16:$C$18,2,FALSE),0)</f>
        <v>2241</v>
      </c>
      <c r="I141" s="43">
        <f t="shared" si="2"/>
        <v>16319.27</v>
      </c>
    </row>
    <row r="142" ht="13.5" customHeight="1">
      <c r="A142" s="1" t="s">
        <v>248</v>
      </c>
      <c r="B142" s="1" t="s">
        <v>75</v>
      </c>
      <c r="C142" s="41" t="str">
        <f t="shared" si="1"/>
        <v>Средний</v>
      </c>
      <c r="D142" s="42">
        <f>VLOOKUP(A142,'Задание 2 (Известные данные)'!$A$2:$D$501,2,FALSE)</f>
        <v>199876</v>
      </c>
      <c r="E142" s="43">
        <f>ROUND(D142*VLOOKUP(B142,'Задание 2 (Справочник)'!$B$8:$D$12,2,FALSE)/(1-VLOOKUP(B142,'Задание 2 (Справочник)'!$B$8:$D$12,3,FALSE)),0)</f>
        <v>214153</v>
      </c>
      <c r="F142" s="43">
        <f>VLOOKUP(A142,'Задание 2 (Известные данные)'!$A$2:$D$501,3,FALSE)</f>
        <v>146909</v>
      </c>
      <c r="G142" s="37">
        <f>F142*VLOOKUP(A142,'Задание 2 (Известные данные)'!$A$2:$D$501,4,FALSE)/1000</f>
        <v>22330.168</v>
      </c>
      <c r="H142" s="43">
        <f>ROUND(E142*VLOOKUP(C142,'Задание 2 (Справочник)'!$B$16:$C$18,2,FALSE),0)</f>
        <v>1606</v>
      </c>
      <c r="I142" s="43">
        <f t="shared" si="2"/>
        <v>11181.14</v>
      </c>
    </row>
    <row r="143" ht="13.5" customHeight="1">
      <c r="A143" s="1" t="s">
        <v>249</v>
      </c>
      <c r="B143" s="1" t="s">
        <v>75</v>
      </c>
      <c r="C143" s="41" t="str">
        <f t="shared" si="1"/>
        <v>Маленький</v>
      </c>
      <c r="D143" s="42">
        <f>VLOOKUP(A143,'Задание 2 (Известные данные)'!$A$2:$D$501,2,FALSE)</f>
        <v>54321</v>
      </c>
      <c r="E143" s="43">
        <f>ROUND(D143*VLOOKUP(B143,'Задание 2 (Справочник)'!$B$8:$D$12,2,FALSE)/(1-VLOOKUP(B143,'Задание 2 (Справочник)'!$B$8:$D$12,3,FALSE)),0)</f>
        <v>58201</v>
      </c>
      <c r="F143" s="43">
        <f>VLOOKUP(A143,'Задание 2 (Известные данные)'!$A$2:$D$501,3,FALSE)</f>
        <v>39926</v>
      </c>
      <c r="G143" s="37">
        <f>F143*VLOOKUP(A143,'Задание 2 (Известные данные)'!$A$2:$D$501,4,FALSE)/1000</f>
        <v>4910.898</v>
      </c>
      <c r="H143" s="43">
        <f>ROUND(E143*VLOOKUP(C143,'Задание 2 (Справочник)'!$B$16:$C$18,2,FALSE),0)</f>
        <v>582</v>
      </c>
      <c r="I143" s="43">
        <f t="shared" si="2"/>
        <v>2461.27</v>
      </c>
    </row>
    <row r="144" ht="13.5" customHeight="1">
      <c r="A144" s="1" t="s">
        <v>250</v>
      </c>
      <c r="B144" s="1" t="s">
        <v>75</v>
      </c>
      <c r="C144" s="41" t="str">
        <f t="shared" si="1"/>
        <v>Маленький</v>
      </c>
      <c r="D144" s="42">
        <f>VLOOKUP(A144,'Задание 2 (Известные данные)'!$A$2:$D$501,2,FALSE)</f>
        <v>87654</v>
      </c>
      <c r="E144" s="43">
        <f>ROUND(D144*VLOOKUP(B144,'Задание 2 (Справочник)'!$B$8:$D$12,2,FALSE)/(1-VLOOKUP(B144,'Задание 2 (Справочник)'!$B$8:$D$12,3,FALSE)),0)</f>
        <v>93915</v>
      </c>
      <c r="F144" s="43">
        <f>VLOOKUP(A144,'Задание 2 (Известные данные)'!$A$2:$D$501,3,FALSE)</f>
        <v>64426</v>
      </c>
      <c r="G144" s="37">
        <f>F144*VLOOKUP(A144,'Задание 2 (Известные данные)'!$A$2:$D$501,4,FALSE)/1000</f>
        <v>8761.936</v>
      </c>
      <c r="H144" s="43">
        <f>ROUND(E144*VLOOKUP(C144,'Задание 2 (Справочник)'!$B$16:$C$18,2,FALSE),0)</f>
        <v>939</v>
      </c>
      <c r="I144" s="43">
        <f t="shared" si="2"/>
        <v>4390.36</v>
      </c>
    </row>
    <row r="145" ht="13.5" customHeight="1">
      <c r="A145" s="1" t="s">
        <v>251</v>
      </c>
      <c r="B145" s="1" t="s">
        <v>75</v>
      </c>
      <c r="C145" s="41" t="str">
        <f t="shared" si="1"/>
        <v>Маленький</v>
      </c>
      <c r="D145" s="42">
        <f>VLOOKUP(A145,'Задание 2 (Известные данные)'!$A$2:$D$501,2,FALSE)</f>
        <v>23456</v>
      </c>
      <c r="E145" s="43">
        <f>ROUND(D145*VLOOKUP(B145,'Задание 2 (Справочник)'!$B$8:$D$12,2,FALSE)/(1-VLOOKUP(B145,'Задание 2 (Справочник)'!$B$8:$D$12,3,FALSE)),0)</f>
        <v>25131</v>
      </c>
      <c r="F145" s="43">
        <f>VLOOKUP(A145,'Задание 2 (Известные данные)'!$A$2:$D$501,3,FALSE)</f>
        <v>17240</v>
      </c>
      <c r="G145" s="37">
        <f>F145*VLOOKUP(A145,'Задание 2 (Известные данные)'!$A$2:$D$501,4,FALSE)/1000</f>
        <v>1844.68</v>
      </c>
      <c r="H145" s="43">
        <f>ROUND(E145*VLOOKUP(C145,'Задание 2 (Справочник)'!$B$16:$C$18,2,FALSE),0)</f>
        <v>251</v>
      </c>
      <c r="I145" s="43">
        <f t="shared" si="2"/>
        <v>924.85</v>
      </c>
    </row>
    <row r="146" ht="13.5" customHeight="1">
      <c r="A146" s="1" t="s">
        <v>252</v>
      </c>
      <c r="B146" s="1" t="s">
        <v>75</v>
      </c>
      <c r="C146" s="41" t="str">
        <f t="shared" si="1"/>
        <v>Маленький</v>
      </c>
      <c r="D146" s="42">
        <f>VLOOKUP(A146,'Задание 2 (Известные данные)'!$A$2:$D$501,2,FALSE)</f>
        <v>98765</v>
      </c>
      <c r="E146" s="43">
        <f>ROUND(D146*VLOOKUP(B146,'Задание 2 (Справочник)'!$B$8:$D$12,2,FALSE)/(1-VLOOKUP(B146,'Задание 2 (Справочник)'!$B$8:$D$12,3,FALSE)),0)</f>
        <v>105820</v>
      </c>
      <c r="F146" s="43">
        <f>VLOOKUP(A146,'Задание 2 (Известные данные)'!$A$2:$D$501,3,FALSE)</f>
        <v>72592</v>
      </c>
      <c r="G146" s="37">
        <f>F146*VLOOKUP(A146,'Задание 2 (Известные данные)'!$A$2:$D$501,4,FALSE)/1000</f>
        <v>10308.064</v>
      </c>
      <c r="H146" s="43">
        <f>ROUND(E146*VLOOKUP(C146,'Задание 2 (Справочник)'!$B$16:$C$18,2,FALSE),0)</f>
        <v>1058</v>
      </c>
      <c r="I146" s="43">
        <f t="shared" si="2"/>
        <v>5164.61</v>
      </c>
    </row>
    <row r="147" ht="13.5" customHeight="1">
      <c r="A147" s="1" t="s">
        <v>253</v>
      </c>
      <c r="B147" s="1" t="s">
        <v>75</v>
      </c>
      <c r="C147" s="41" t="str">
        <f t="shared" si="1"/>
        <v>Маленький</v>
      </c>
      <c r="D147" s="42">
        <f>VLOOKUP(A147,'Задание 2 (Известные данные)'!$A$2:$D$501,2,FALSE)</f>
        <v>34567</v>
      </c>
      <c r="E147" s="43">
        <f>ROUND(D147*VLOOKUP(B147,'Задание 2 (Справочник)'!$B$8:$D$12,2,FALSE)/(1-VLOOKUP(B147,'Задание 2 (Справочник)'!$B$8:$D$12,3,FALSE)),0)</f>
        <v>37036</v>
      </c>
      <c r="F147" s="43">
        <f>VLOOKUP(A147,'Задание 2 (Известные данные)'!$A$2:$D$501,3,FALSE)</f>
        <v>25407</v>
      </c>
      <c r="G147" s="37">
        <f>F147*VLOOKUP(A147,'Задание 2 (Известные данные)'!$A$2:$D$501,4,FALSE)/1000</f>
        <v>2921.805</v>
      </c>
      <c r="H147" s="43">
        <f>ROUND(E147*VLOOKUP(C147,'Задание 2 (Справочник)'!$B$16:$C$18,2,FALSE),0)</f>
        <v>370</v>
      </c>
      <c r="I147" s="43">
        <f t="shared" si="2"/>
        <v>1464.6</v>
      </c>
    </row>
    <row r="148" ht="13.5" customHeight="1">
      <c r="A148" s="1" t="s">
        <v>254</v>
      </c>
      <c r="B148" s="1" t="s">
        <v>75</v>
      </c>
      <c r="C148" s="41" t="str">
        <f t="shared" si="1"/>
        <v>Маленький</v>
      </c>
      <c r="D148" s="42">
        <f>VLOOKUP(A148,'Задание 2 (Известные данные)'!$A$2:$D$501,2,FALSE)</f>
        <v>65432</v>
      </c>
      <c r="E148" s="43">
        <f>ROUND(D148*VLOOKUP(B148,'Задание 2 (Справочник)'!$B$8:$D$12,2,FALSE)/(1-VLOOKUP(B148,'Задание 2 (Справочник)'!$B$8:$D$12,3,FALSE)),0)</f>
        <v>70106</v>
      </c>
      <c r="F148" s="43">
        <f>VLOOKUP(A148,'Задание 2 (Известные данные)'!$A$2:$D$501,3,FALSE)</f>
        <v>48093</v>
      </c>
      <c r="G148" s="37">
        <f>F148*VLOOKUP(A148,'Задание 2 (Известные данные)'!$A$2:$D$501,4,FALSE)/1000</f>
        <v>6155.904</v>
      </c>
      <c r="H148" s="43">
        <f>ROUND(E148*VLOOKUP(C148,'Задание 2 (Справочник)'!$B$16:$C$18,2,FALSE),0)</f>
        <v>701</v>
      </c>
      <c r="I148" s="43">
        <f t="shared" si="2"/>
        <v>3084.96</v>
      </c>
    </row>
    <row r="149" ht="13.5" customHeight="1">
      <c r="A149" s="1" t="s">
        <v>255</v>
      </c>
      <c r="B149" s="1" t="s">
        <v>75</v>
      </c>
      <c r="C149" s="41" t="str">
        <f t="shared" si="1"/>
        <v>Маленький</v>
      </c>
      <c r="D149" s="42">
        <f>VLOOKUP(A149,'Задание 2 (Известные данные)'!$A$2:$D$501,2,FALSE)</f>
        <v>12345</v>
      </c>
      <c r="E149" s="43">
        <f>ROUND(D149*VLOOKUP(B149,'Задание 2 (Справочник)'!$B$8:$D$12,2,FALSE)/(1-VLOOKUP(B149,'Задание 2 (Справочник)'!$B$8:$D$12,3,FALSE)),0)</f>
        <v>13227</v>
      </c>
      <c r="F149" s="43">
        <f>VLOOKUP(A149,'Задание 2 (Известные данные)'!$A$2:$D$501,3,FALSE)</f>
        <v>9073</v>
      </c>
      <c r="G149" s="37">
        <f>F149*VLOOKUP(A149,'Задание 2 (Известные данные)'!$A$2:$D$501,4,FALSE)/1000</f>
        <v>889.154</v>
      </c>
      <c r="H149" s="43">
        <f>ROUND(E149*VLOOKUP(C149,'Задание 2 (Справочник)'!$B$16:$C$18,2,FALSE),0)</f>
        <v>132</v>
      </c>
      <c r="I149" s="43">
        <f t="shared" si="2"/>
        <v>445.9</v>
      </c>
    </row>
    <row r="150" ht="13.5" customHeight="1">
      <c r="A150" s="1" t="s">
        <v>256</v>
      </c>
      <c r="B150" s="1" t="s">
        <v>75</v>
      </c>
      <c r="C150" s="41" t="str">
        <f t="shared" si="1"/>
        <v>Маленький</v>
      </c>
      <c r="D150" s="42">
        <f>VLOOKUP(A150,'Задание 2 (Известные данные)'!$A$2:$D$501,2,FALSE)</f>
        <v>76543</v>
      </c>
      <c r="E150" s="43">
        <f>ROUND(D150*VLOOKUP(B150,'Задание 2 (Справочник)'!$B$8:$D$12,2,FALSE)/(1-VLOOKUP(B150,'Задание 2 (Справочник)'!$B$8:$D$12,3,FALSE)),0)</f>
        <v>82010</v>
      </c>
      <c r="F150" s="43">
        <f>VLOOKUP(A150,'Задание 2 (Известные данные)'!$A$2:$D$501,3,FALSE)</f>
        <v>56259</v>
      </c>
      <c r="G150" s="37">
        <f>F150*VLOOKUP(A150,'Задание 2 (Известные данные)'!$A$2:$D$501,4,FALSE)/1000</f>
        <v>7369.929</v>
      </c>
      <c r="H150" s="43">
        <f>ROUND(E150*VLOOKUP(C150,'Задание 2 (Справочник)'!$B$16:$C$18,2,FALSE),0)</f>
        <v>820</v>
      </c>
      <c r="I150" s="43">
        <f t="shared" si="2"/>
        <v>3693.16</v>
      </c>
    </row>
    <row r="151" ht="13.5" customHeight="1">
      <c r="A151" s="1" t="s">
        <v>257</v>
      </c>
      <c r="B151" s="1" t="s">
        <v>75</v>
      </c>
      <c r="C151" s="41" t="str">
        <f t="shared" si="1"/>
        <v>Маленький</v>
      </c>
      <c r="D151" s="42">
        <f>VLOOKUP(A151,'Задание 2 (Известные данные)'!$A$2:$D$501,2,FALSE)</f>
        <v>43210</v>
      </c>
      <c r="E151" s="43">
        <f>ROUND(D151*VLOOKUP(B151,'Задание 2 (Справочник)'!$B$8:$D$12,2,FALSE)/(1-VLOOKUP(B151,'Задание 2 (Справочник)'!$B$8:$D$12,3,FALSE)),0)</f>
        <v>46296</v>
      </c>
      <c r="F151" s="43">
        <f>VLOOKUP(A151,'Задание 2 (Известные данные)'!$A$2:$D$501,3,FALSE)</f>
        <v>31760</v>
      </c>
      <c r="G151" s="37">
        <f>F151*VLOOKUP(A151,'Задание 2 (Известные данные)'!$A$2:$D$501,4,FALSE)/1000</f>
        <v>3557.12</v>
      </c>
      <c r="H151" s="43">
        <f>ROUND(E151*VLOOKUP(C151,'Задание 2 (Справочник)'!$B$16:$C$18,2,FALSE),0)</f>
        <v>463</v>
      </c>
      <c r="I151" s="43">
        <f t="shared" si="2"/>
        <v>1783.19</v>
      </c>
    </row>
    <row r="152" ht="13.5" customHeight="1">
      <c r="A152" s="1" t="s">
        <v>258</v>
      </c>
      <c r="B152" s="1" t="s">
        <v>75</v>
      </c>
      <c r="C152" s="41" t="str">
        <f t="shared" si="1"/>
        <v>Маленький</v>
      </c>
      <c r="D152" s="42">
        <f>VLOOKUP(A152,'Задание 2 (Известные данные)'!$A$2:$D$501,2,FALSE)</f>
        <v>56789</v>
      </c>
      <c r="E152" s="43">
        <f>ROUND(D152*VLOOKUP(B152,'Задание 2 (Справочник)'!$B$8:$D$12,2,FALSE)/(1-VLOOKUP(B152,'Задание 2 (Справочник)'!$B$8:$D$12,3,FALSE)),0)</f>
        <v>60845</v>
      </c>
      <c r="F152" s="43">
        <f>VLOOKUP(A152,'Задание 2 (Известные данные)'!$A$2:$D$501,3,FALSE)</f>
        <v>41740</v>
      </c>
      <c r="G152" s="37">
        <f>F152*VLOOKUP(A152,'Задание 2 (Известные данные)'!$A$2:$D$501,4,FALSE)/1000</f>
        <v>5217.5</v>
      </c>
      <c r="H152" s="43">
        <f>ROUND(E152*VLOOKUP(C152,'Задание 2 (Справочник)'!$B$16:$C$18,2,FALSE),0)</f>
        <v>608</v>
      </c>
      <c r="I152" s="43">
        <f t="shared" si="2"/>
        <v>2614.83</v>
      </c>
    </row>
    <row r="153" ht="13.5" customHeight="1">
      <c r="A153" s="1" t="s">
        <v>259</v>
      </c>
      <c r="B153" s="1" t="s">
        <v>75</v>
      </c>
      <c r="C153" s="41" t="str">
        <f t="shared" si="1"/>
        <v>Маленький</v>
      </c>
      <c r="D153" s="42">
        <f>VLOOKUP(A153,'Задание 2 (Известные данные)'!$A$2:$D$501,2,FALSE)</f>
        <v>87654</v>
      </c>
      <c r="E153" s="43">
        <f>ROUND(D153*VLOOKUP(B153,'Задание 2 (Справочник)'!$B$8:$D$12,2,FALSE)/(1-VLOOKUP(B153,'Задание 2 (Справочник)'!$B$8:$D$12,3,FALSE)),0)</f>
        <v>93915</v>
      </c>
      <c r="F153" s="43">
        <f>VLOOKUP(A153,'Задание 2 (Известные данные)'!$A$2:$D$501,3,FALSE)</f>
        <v>64426</v>
      </c>
      <c r="G153" s="37">
        <f>F153*VLOOKUP(A153,'Задание 2 (Известные данные)'!$A$2:$D$501,4,FALSE)/1000</f>
        <v>8826.362</v>
      </c>
      <c r="H153" s="43">
        <f>ROUND(E153*VLOOKUP(C153,'Задание 2 (Справочник)'!$B$16:$C$18,2,FALSE),0)</f>
        <v>939</v>
      </c>
      <c r="I153" s="43">
        <f t="shared" si="2"/>
        <v>4422.57</v>
      </c>
    </row>
    <row r="154" ht="13.5" customHeight="1">
      <c r="A154" s="1" t="s">
        <v>260</v>
      </c>
      <c r="B154" s="1" t="s">
        <v>75</v>
      </c>
      <c r="C154" s="41" t="str">
        <f t="shared" si="1"/>
        <v>Маленький</v>
      </c>
      <c r="D154" s="42">
        <f>VLOOKUP(A154,'Задание 2 (Известные данные)'!$A$2:$D$501,2,FALSE)</f>
        <v>23456</v>
      </c>
      <c r="E154" s="43">
        <f>ROUND(D154*VLOOKUP(B154,'Задание 2 (Справочник)'!$B$8:$D$12,2,FALSE)/(1-VLOOKUP(B154,'Задание 2 (Справочник)'!$B$8:$D$12,3,FALSE)),0)</f>
        <v>25131</v>
      </c>
      <c r="F154" s="43">
        <f>VLOOKUP(A154,'Задание 2 (Известные данные)'!$A$2:$D$501,3,FALSE)</f>
        <v>17240</v>
      </c>
      <c r="G154" s="37">
        <f>F154*VLOOKUP(A154,'Задание 2 (Известные данные)'!$A$2:$D$501,4,FALSE)/1000</f>
        <v>1827.44</v>
      </c>
      <c r="H154" s="43">
        <f>ROUND(E154*VLOOKUP(C154,'Задание 2 (Справочник)'!$B$16:$C$18,2,FALSE),0)</f>
        <v>251</v>
      </c>
      <c r="I154" s="43">
        <f t="shared" si="2"/>
        <v>916.23</v>
      </c>
    </row>
    <row r="155" ht="13.5" customHeight="1">
      <c r="A155" s="1" t="s">
        <v>261</v>
      </c>
      <c r="B155" s="1" t="s">
        <v>75</v>
      </c>
      <c r="C155" s="41" t="str">
        <f t="shared" si="1"/>
        <v>Маленький</v>
      </c>
      <c r="D155" s="42">
        <f>VLOOKUP(A155,'Задание 2 (Известные данные)'!$A$2:$D$501,2,FALSE)</f>
        <v>98765</v>
      </c>
      <c r="E155" s="43">
        <f>ROUND(D155*VLOOKUP(B155,'Задание 2 (Справочник)'!$B$8:$D$12,2,FALSE)/(1-VLOOKUP(B155,'Задание 2 (Справочник)'!$B$8:$D$12,3,FALSE)),0)</f>
        <v>105820</v>
      </c>
      <c r="F155" s="43">
        <f>VLOOKUP(A155,'Задание 2 (Известные данные)'!$A$2:$D$501,3,FALSE)</f>
        <v>72592</v>
      </c>
      <c r="G155" s="37">
        <f>F155*VLOOKUP(A155,'Задание 2 (Известные данные)'!$A$2:$D$501,4,FALSE)/1000</f>
        <v>10380.656</v>
      </c>
      <c r="H155" s="43">
        <f>ROUND(E155*VLOOKUP(C155,'Задание 2 (Справочник)'!$B$16:$C$18,2,FALSE),0)</f>
        <v>1058</v>
      </c>
      <c r="I155" s="43">
        <f t="shared" si="2"/>
        <v>5200.91</v>
      </c>
    </row>
    <row r="156" ht="13.5" customHeight="1">
      <c r="A156" s="1" t="s">
        <v>262</v>
      </c>
      <c r="B156" s="1" t="s">
        <v>75</v>
      </c>
      <c r="C156" s="41" t="str">
        <f t="shared" si="1"/>
        <v>Маленький</v>
      </c>
      <c r="D156" s="42">
        <f>VLOOKUP(A156,'Задание 2 (Известные данные)'!$A$2:$D$501,2,FALSE)</f>
        <v>34567</v>
      </c>
      <c r="E156" s="43">
        <f>ROUND(D156*VLOOKUP(B156,'Задание 2 (Справочник)'!$B$8:$D$12,2,FALSE)/(1-VLOOKUP(B156,'Задание 2 (Справочник)'!$B$8:$D$12,3,FALSE)),0)</f>
        <v>37036</v>
      </c>
      <c r="F156" s="43">
        <f>VLOOKUP(A156,'Задание 2 (Известные данные)'!$A$2:$D$501,3,FALSE)</f>
        <v>25407</v>
      </c>
      <c r="G156" s="37">
        <f>F156*VLOOKUP(A156,'Задание 2 (Известные данные)'!$A$2:$D$501,4,FALSE)/1000</f>
        <v>2947.212</v>
      </c>
      <c r="H156" s="43">
        <f>ROUND(E156*VLOOKUP(C156,'Задание 2 (Справочник)'!$B$16:$C$18,2,FALSE),0)</f>
        <v>370</v>
      </c>
      <c r="I156" s="43">
        <f t="shared" si="2"/>
        <v>1477.31</v>
      </c>
    </row>
    <row r="157" ht="13.5" customHeight="1">
      <c r="A157" s="1" t="s">
        <v>263</v>
      </c>
      <c r="B157" s="1" t="s">
        <v>75</v>
      </c>
      <c r="C157" s="41" t="str">
        <f t="shared" si="1"/>
        <v>Маленький</v>
      </c>
      <c r="D157" s="42">
        <f>VLOOKUP(A157,'Задание 2 (Известные данные)'!$A$2:$D$501,2,FALSE)</f>
        <v>65432</v>
      </c>
      <c r="E157" s="43">
        <f>ROUND(D157*VLOOKUP(B157,'Задание 2 (Справочник)'!$B$8:$D$12,2,FALSE)/(1-VLOOKUP(B157,'Задание 2 (Справочник)'!$B$8:$D$12,3,FALSE)),0)</f>
        <v>70106</v>
      </c>
      <c r="F157" s="43">
        <f>VLOOKUP(A157,'Задание 2 (Известные данные)'!$A$2:$D$501,3,FALSE)</f>
        <v>48093</v>
      </c>
      <c r="G157" s="37">
        <f>F157*VLOOKUP(A157,'Задание 2 (Известные данные)'!$A$2:$D$501,4,FALSE)/1000</f>
        <v>6107.811</v>
      </c>
      <c r="H157" s="43">
        <f>ROUND(E157*VLOOKUP(C157,'Задание 2 (Справочник)'!$B$16:$C$18,2,FALSE),0)</f>
        <v>701</v>
      </c>
      <c r="I157" s="43">
        <f t="shared" si="2"/>
        <v>3060.92</v>
      </c>
    </row>
    <row r="158" ht="13.5" customHeight="1">
      <c r="A158" s="1" t="s">
        <v>264</v>
      </c>
      <c r="B158" s="1" t="s">
        <v>75</v>
      </c>
      <c r="C158" s="41" t="str">
        <f t="shared" si="1"/>
        <v>Маленький</v>
      </c>
      <c r="D158" s="42">
        <f>VLOOKUP(A158,'Задание 2 (Известные данные)'!$A$2:$D$501,2,FALSE)</f>
        <v>12345</v>
      </c>
      <c r="E158" s="43">
        <f>ROUND(D158*VLOOKUP(B158,'Задание 2 (Справочник)'!$B$8:$D$12,2,FALSE)/(1-VLOOKUP(B158,'Задание 2 (Справочник)'!$B$8:$D$12,3,FALSE)),0)</f>
        <v>13227</v>
      </c>
      <c r="F158" s="43">
        <f>VLOOKUP(A158,'Задание 2 (Известные данные)'!$A$2:$D$501,3,FALSE)</f>
        <v>9073</v>
      </c>
      <c r="G158" s="37">
        <f>F158*VLOOKUP(A158,'Задание 2 (Известные данные)'!$A$2:$D$501,4,FALSE)/1000</f>
        <v>898.227</v>
      </c>
      <c r="H158" s="43">
        <f>ROUND(E158*VLOOKUP(C158,'Задание 2 (Справочник)'!$B$16:$C$18,2,FALSE),0)</f>
        <v>132</v>
      </c>
      <c r="I158" s="43">
        <f t="shared" si="2"/>
        <v>450.43</v>
      </c>
    </row>
    <row r="159" ht="13.5" customHeight="1">
      <c r="A159" s="1" t="s">
        <v>265</v>
      </c>
      <c r="B159" s="1" t="s">
        <v>75</v>
      </c>
      <c r="C159" s="41" t="str">
        <f t="shared" si="1"/>
        <v>Маленький</v>
      </c>
      <c r="D159" s="42">
        <f>VLOOKUP(A159,'Задание 2 (Известные данные)'!$A$2:$D$501,2,FALSE)</f>
        <v>76543</v>
      </c>
      <c r="E159" s="43">
        <f>ROUND(D159*VLOOKUP(B159,'Задание 2 (Справочник)'!$B$8:$D$12,2,FALSE)/(1-VLOOKUP(B159,'Задание 2 (Справочник)'!$B$8:$D$12,3,FALSE)),0)</f>
        <v>82010</v>
      </c>
      <c r="F159" s="43">
        <f>VLOOKUP(A159,'Задание 2 (Известные данные)'!$A$2:$D$501,3,FALSE)</f>
        <v>56259</v>
      </c>
      <c r="G159" s="37">
        <f>F159*VLOOKUP(A159,'Задание 2 (Известные данные)'!$A$2:$D$501,4,FALSE)/1000</f>
        <v>7426.188</v>
      </c>
      <c r="H159" s="43">
        <f>ROUND(E159*VLOOKUP(C159,'Задание 2 (Справочник)'!$B$16:$C$18,2,FALSE),0)</f>
        <v>820</v>
      </c>
      <c r="I159" s="43">
        <f t="shared" si="2"/>
        <v>3721.29</v>
      </c>
    </row>
    <row r="160" ht="13.5" customHeight="1">
      <c r="A160" s="1" t="s">
        <v>266</v>
      </c>
      <c r="B160" s="1" t="s">
        <v>75</v>
      </c>
      <c r="C160" s="41" t="str">
        <f t="shared" si="1"/>
        <v>Маленький</v>
      </c>
      <c r="D160" s="42">
        <f>VLOOKUP(A160,'Задание 2 (Известные данные)'!$A$2:$D$501,2,FALSE)</f>
        <v>43210</v>
      </c>
      <c r="E160" s="43">
        <f>ROUND(D160*VLOOKUP(B160,'Задание 2 (Справочник)'!$B$8:$D$12,2,FALSE)/(1-VLOOKUP(B160,'Задание 2 (Справочник)'!$B$8:$D$12,3,FALSE)),0)</f>
        <v>46296</v>
      </c>
      <c r="F160" s="43">
        <f>VLOOKUP(A160,'Задание 2 (Известные данные)'!$A$2:$D$501,3,FALSE)</f>
        <v>31760</v>
      </c>
      <c r="G160" s="37">
        <f>F160*VLOOKUP(A160,'Задание 2 (Известные данные)'!$A$2:$D$501,4,FALSE)/1000</f>
        <v>3525.36</v>
      </c>
      <c r="H160" s="43">
        <f>ROUND(E160*VLOOKUP(C160,'Задание 2 (Справочник)'!$B$16:$C$18,2,FALSE),0)</f>
        <v>463</v>
      </c>
      <c r="I160" s="43">
        <f t="shared" si="2"/>
        <v>1767.31</v>
      </c>
    </row>
    <row r="161" ht="13.5" customHeight="1">
      <c r="A161" s="1" t="s">
        <v>267</v>
      </c>
      <c r="B161" s="1" t="s">
        <v>75</v>
      </c>
      <c r="C161" s="41" t="str">
        <f t="shared" si="1"/>
        <v>Маленький</v>
      </c>
      <c r="D161" s="42">
        <f>VLOOKUP(A161,'Задание 2 (Известные данные)'!$A$2:$D$501,2,FALSE)</f>
        <v>56789</v>
      </c>
      <c r="E161" s="43">
        <f>ROUND(D161*VLOOKUP(B161,'Задание 2 (Справочник)'!$B$8:$D$12,2,FALSE)/(1-VLOOKUP(B161,'Задание 2 (Справочник)'!$B$8:$D$12,3,FALSE)),0)</f>
        <v>60845</v>
      </c>
      <c r="F161" s="43">
        <f>VLOOKUP(A161,'Задание 2 (Известные данные)'!$A$2:$D$501,3,FALSE)</f>
        <v>41740</v>
      </c>
      <c r="G161" s="37">
        <f>F161*VLOOKUP(A161,'Задание 2 (Известные данные)'!$A$2:$D$501,4,FALSE)/1000</f>
        <v>5175.76</v>
      </c>
      <c r="H161" s="43">
        <f>ROUND(E161*VLOOKUP(C161,'Задание 2 (Справочник)'!$B$16:$C$18,2,FALSE),0)</f>
        <v>608</v>
      </c>
      <c r="I161" s="43">
        <f t="shared" si="2"/>
        <v>2593.96</v>
      </c>
    </row>
    <row r="162" ht="13.5" customHeight="1">
      <c r="A162" s="1" t="s">
        <v>268</v>
      </c>
      <c r="B162" s="1" t="s">
        <v>75</v>
      </c>
      <c r="C162" s="41" t="str">
        <f t="shared" si="1"/>
        <v>Маленький</v>
      </c>
      <c r="D162" s="42">
        <f>VLOOKUP(A162,'Задание 2 (Известные данные)'!$A$2:$D$501,2,FALSE)</f>
        <v>87654</v>
      </c>
      <c r="E162" s="43">
        <f>ROUND(D162*VLOOKUP(B162,'Задание 2 (Справочник)'!$B$8:$D$12,2,FALSE)/(1-VLOOKUP(B162,'Задание 2 (Справочник)'!$B$8:$D$12,3,FALSE)),0)</f>
        <v>93915</v>
      </c>
      <c r="F162" s="43">
        <f>VLOOKUP(A162,'Задание 2 (Известные данные)'!$A$2:$D$501,3,FALSE)</f>
        <v>64426</v>
      </c>
      <c r="G162" s="37">
        <f>F162*VLOOKUP(A162,'Задание 2 (Известные данные)'!$A$2:$D$501,4,FALSE)/1000</f>
        <v>8890.788</v>
      </c>
      <c r="H162" s="43">
        <f>ROUND(E162*VLOOKUP(C162,'Задание 2 (Справочник)'!$B$16:$C$18,2,FALSE),0)</f>
        <v>939</v>
      </c>
      <c r="I162" s="43">
        <f t="shared" si="2"/>
        <v>4454.78</v>
      </c>
    </row>
    <row r="163" ht="13.5" customHeight="1">
      <c r="A163" s="1" t="s">
        <v>269</v>
      </c>
      <c r="B163" s="1" t="s">
        <v>75</v>
      </c>
      <c r="C163" s="41" t="str">
        <f t="shared" si="1"/>
        <v>Маленький</v>
      </c>
      <c r="D163" s="42">
        <f>VLOOKUP(A163,'Задание 2 (Известные данные)'!$A$2:$D$501,2,FALSE)</f>
        <v>23456</v>
      </c>
      <c r="E163" s="43">
        <f>ROUND(D163*VLOOKUP(B163,'Задание 2 (Справочник)'!$B$8:$D$12,2,FALSE)/(1-VLOOKUP(B163,'Задание 2 (Справочник)'!$B$8:$D$12,3,FALSE)),0)</f>
        <v>25131</v>
      </c>
      <c r="F163" s="43">
        <f>VLOOKUP(A163,'Задание 2 (Известные данные)'!$A$2:$D$501,3,FALSE)</f>
        <v>17240</v>
      </c>
      <c r="G163" s="37">
        <f>F163*VLOOKUP(A163,'Задание 2 (Известные данные)'!$A$2:$D$501,4,FALSE)/1000</f>
        <v>1861.92</v>
      </c>
      <c r="H163" s="43">
        <f>ROUND(E163*VLOOKUP(C163,'Задание 2 (Справочник)'!$B$16:$C$18,2,FALSE),0)</f>
        <v>251</v>
      </c>
      <c r="I163" s="43">
        <f t="shared" si="2"/>
        <v>933.47</v>
      </c>
    </row>
    <row r="164" ht="13.5" customHeight="1">
      <c r="A164" s="1" t="s">
        <v>270</v>
      </c>
      <c r="B164" s="1" t="s">
        <v>75</v>
      </c>
      <c r="C164" s="41" t="str">
        <f t="shared" si="1"/>
        <v>Маленький</v>
      </c>
      <c r="D164" s="42">
        <f>VLOOKUP(A164,'Задание 2 (Известные данные)'!$A$2:$D$501,2,FALSE)</f>
        <v>98765</v>
      </c>
      <c r="E164" s="43">
        <f>ROUND(D164*VLOOKUP(B164,'Задание 2 (Справочник)'!$B$8:$D$12,2,FALSE)/(1-VLOOKUP(B164,'Задание 2 (Справочник)'!$B$8:$D$12,3,FALSE)),0)</f>
        <v>105820</v>
      </c>
      <c r="F164" s="43">
        <f>VLOOKUP(A164,'Задание 2 (Известные данные)'!$A$2:$D$501,3,FALSE)</f>
        <v>72592</v>
      </c>
      <c r="G164" s="37">
        <f>F164*VLOOKUP(A164,'Задание 2 (Известные данные)'!$A$2:$D$501,4,FALSE)/1000</f>
        <v>10453.248</v>
      </c>
      <c r="H164" s="43">
        <f>ROUND(E164*VLOOKUP(C164,'Задание 2 (Справочник)'!$B$16:$C$18,2,FALSE),0)</f>
        <v>1058</v>
      </c>
      <c r="I164" s="43">
        <f t="shared" si="2"/>
        <v>5237.2</v>
      </c>
    </row>
    <row r="165" ht="13.5" customHeight="1">
      <c r="A165" s="1" t="s">
        <v>271</v>
      </c>
      <c r="B165" s="1" t="s">
        <v>75</v>
      </c>
      <c r="C165" s="41" t="str">
        <f t="shared" si="1"/>
        <v>Маленький</v>
      </c>
      <c r="D165" s="42">
        <f>VLOOKUP(A165,'Задание 2 (Известные данные)'!$A$2:$D$501,2,FALSE)</f>
        <v>34567</v>
      </c>
      <c r="E165" s="43">
        <f>ROUND(D165*VLOOKUP(B165,'Задание 2 (Справочник)'!$B$8:$D$12,2,FALSE)/(1-VLOOKUP(B165,'Задание 2 (Справочник)'!$B$8:$D$12,3,FALSE)),0)</f>
        <v>37036</v>
      </c>
      <c r="F165" s="43">
        <f>VLOOKUP(A165,'Задание 2 (Известные данные)'!$A$2:$D$501,3,FALSE)</f>
        <v>25407</v>
      </c>
      <c r="G165" s="37">
        <f>F165*VLOOKUP(A165,'Задание 2 (Известные данные)'!$A$2:$D$501,4,FALSE)/1000</f>
        <v>2896.398</v>
      </c>
      <c r="H165" s="43">
        <f>ROUND(E165*VLOOKUP(C165,'Задание 2 (Справочник)'!$B$16:$C$18,2,FALSE),0)</f>
        <v>370</v>
      </c>
      <c r="I165" s="43">
        <f t="shared" si="2"/>
        <v>1451.9</v>
      </c>
    </row>
    <row r="166" ht="13.5" customHeight="1">
      <c r="A166" s="1" t="s">
        <v>272</v>
      </c>
      <c r="B166" s="1" t="s">
        <v>75</v>
      </c>
      <c r="C166" s="41" t="str">
        <f t="shared" si="1"/>
        <v>Маленький</v>
      </c>
      <c r="D166" s="42">
        <f>VLOOKUP(A166,'Задание 2 (Известные данные)'!$A$2:$D$501,2,FALSE)</f>
        <v>65432</v>
      </c>
      <c r="E166" s="43">
        <f>ROUND(D166*VLOOKUP(B166,'Задание 2 (Справочник)'!$B$8:$D$12,2,FALSE)/(1-VLOOKUP(B166,'Задание 2 (Справочник)'!$B$8:$D$12,3,FALSE)),0)</f>
        <v>70106</v>
      </c>
      <c r="F166" s="43">
        <f>VLOOKUP(A166,'Задание 2 (Известные данные)'!$A$2:$D$501,3,FALSE)</f>
        <v>48093</v>
      </c>
      <c r="G166" s="37">
        <f>F166*VLOOKUP(A166,'Задание 2 (Известные данные)'!$A$2:$D$501,4,FALSE)/1000</f>
        <v>6059.718</v>
      </c>
      <c r="H166" s="43">
        <f>ROUND(E166*VLOOKUP(C166,'Задание 2 (Справочник)'!$B$16:$C$18,2,FALSE),0)</f>
        <v>701</v>
      </c>
      <c r="I166" s="43">
        <f t="shared" si="2"/>
        <v>3036.87</v>
      </c>
    </row>
    <row r="167" ht="13.5" customHeight="1">
      <c r="A167" s="1" t="s">
        <v>273</v>
      </c>
      <c r="B167" s="1" t="s">
        <v>75</v>
      </c>
      <c r="C167" s="41" t="str">
        <f t="shared" si="1"/>
        <v>Маленький</v>
      </c>
      <c r="D167" s="42">
        <f>VLOOKUP(A167,'Задание 2 (Известные данные)'!$A$2:$D$501,2,FALSE)</f>
        <v>12345</v>
      </c>
      <c r="E167" s="43">
        <f>ROUND(D167*VLOOKUP(B167,'Задание 2 (Справочник)'!$B$8:$D$12,2,FALSE)/(1-VLOOKUP(B167,'Задание 2 (Справочник)'!$B$8:$D$12,3,FALSE)),0)</f>
        <v>13227</v>
      </c>
      <c r="F167" s="43">
        <f>VLOOKUP(A167,'Задание 2 (Известные данные)'!$A$2:$D$501,3,FALSE)</f>
        <v>9073</v>
      </c>
      <c r="G167" s="37">
        <f>F167*VLOOKUP(A167,'Задание 2 (Известные данные)'!$A$2:$D$501,4,FALSE)/1000</f>
        <v>880.081</v>
      </c>
      <c r="H167" s="43">
        <f>ROUND(E167*VLOOKUP(C167,'Задание 2 (Справочник)'!$B$16:$C$18,2,FALSE),0)</f>
        <v>132</v>
      </c>
      <c r="I167" s="43">
        <f t="shared" si="2"/>
        <v>441.36</v>
      </c>
    </row>
    <row r="168" ht="13.5" customHeight="1">
      <c r="A168" s="1" t="s">
        <v>274</v>
      </c>
      <c r="B168" s="1" t="s">
        <v>75</v>
      </c>
      <c r="C168" s="41" t="str">
        <f t="shared" si="1"/>
        <v>Маленький</v>
      </c>
      <c r="D168" s="42">
        <f>VLOOKUP(A168,'Задание 2 (Известные данные)'!$A$2:$D$501,2,FALSE)</f>
        <v>76543</v>
      </c>
      <c r="E168" s="43">
        <f>ROUND(D168*VLOOKUP(B168,'Задание 2 (Справочник)'!$B$8:$D$12,2,FALSE)/(1-VLOOKUP(B168,'Задание 2 (Справочник)'!$B$8:$D$12,3,FALSE)),0)</f>
        <v>82010</v>
      </c>
      <c r="F168" s="43">
        <f>VLOOKUP(A168,'Задание 2 (Известные данные)'!$A$2:$D$501,3,FALSE)</f>
        <v>56259</v>
      </c>
      <c r="G168" s="37">
        <f>F168*VLOOKUP(A168,'Задание 2 (Известные данные)'!$A$2:$D$501,4,FALSE)/1000</f>
        <v>7482.447</v>
      </c>
      <c r="H168" s="43">
        <f>ROUND(E168*VLOOKUP(C168,'Задание 2 (Справочник)'!$B$16:$C$18,2,FALSE),0)</f>
        <v>820</v>
      </c>
      <c r="I168" s="43">
        <f t="shared" si="2"/>
        <v>3749.42</v>
      </c>
    </row>
    <row r="169" ht="13.5" customHeight="1">
      <c r="A169" s="1" t="s">
        <v>275</v>
      </c>
      <c r="B169" s="1" t="s">
        <v>75</v>
      </c>
      <c r="C169" s="41" t="str">
        <f t="shared" si="1"/>
        <v>Маленький</v>
      </c>
      <c r="D169" s="42">
        <f>VLOOKUP(A169,'Задание 2 (Известные данные)'!$A$2:$D$501,2,FALSE)</f>
        <v>43210</v>
      </c>
      <c r="E169" s="43">
        <f>ROUND(D169*VLOOKUP(B169,'Задание 2 (Справочник)'!$B$8:$D$12,2,FALSE)/(1-VLOOKUP(B169,'Задание 2 (Справочник)'!$B$8:$D$12,3,FALSE)),0)</f>
        <v>46296</v>
      </c>
      <c r="F169" s="43">
        <f>VLOOKUP(A169,'Задание 2 (Известные данные)'!$A$2:$D$501,3,FALSE)</f>
        <v>31760</v>
      </c>
      <c r="G169" s="37">
        <f>F169*VLOOKUP(A169,'Задание 2 (Известные данные)'!$A$2:$D$501,4,FALSE)/1000</f>
        <v>3588.88</v>
      </c>
      <c r="H169" s="43">
        <f>ROUND(E169*VLOOKUP(C169,'Задание 2 (Справочник)'!$B$16:$C$18,2,FALSE),0)</f>
        <v>463</v>
      </c>
      <c r="I169" s="43">
        <f t="shared" si="2"/>
        <v>1799.07</v>
      </c>
    </row>
    <row r="170" ht="13.5" customHeight="1">
      <c r="A170" s="1" t="s">
        <v>276</v>
      </c>
      <c r="B170" s="1" t="s">
        <v>75</v>
      </c>
      <c r="C170" s="41" t="str">
        <f t="shared" si="1"/>
        <v>Маленький</v>
      </c>
      <c r="D170" s="42">
        <f>VLOOKUP(A170,'Задание 2 (Известные данные)'!$A$2:$D$501,2,FALSE)</f>
        <v>56789</v>
      </c>
      <c r="E170" s="43">
        <f>ROUND(D170*VLOOKUP(B170,'Задание 2 (Справочник)'!$B$8:$D$12,2,FALSE)/(1-VLOOKUP(B170,'Задание 2 (Справочник)'!$B$8:$D$12,3,FALSE)),0)</f>
        <v>60845</v>
      </c>
      <c r="F170" s="43">
        <f>VLOOKUP(A170,'Задание 2 (Известные данные)'!$A$2:$D$501,3,FALSE)</f>
        <v>41740</v>
      </c>
      <c r="G170" s="37">
        <f>F170*VLOOKUP(A170,'Задание 2 (Известные данные)'!$A$2:$D$501,4,FALSE)/1000</f>
        <v>5092.28</v>
      </c>
      <c r="H170" s="43">
        <f>ROUND(E170*VLOOKUP(C170,'Задание 2 (Справочник)'!$B$16:$C$18,2,FALSE),0)</f>
        <v>608</v>
      </c>
      <c r="I170" s="43">
        <f t="shared" si="2"/>
        <v>2552.22</v>
      </c>
    </row>
    <row r="171" ht="13.5" customHeight="1">
      <c r="A171" s="1" t="s">
        <v>277</v>
      </c>
      <c r="B171" s="1" t="s">
        <v>75</v>
      </c>
      <c r="C171" s="41" t="str">
        <f t="shared" si="1"/>
        <v>Маленький</v>
      </c>
      <c r="D171" s="42">
        <f>VLOOKUP(A171,'Задание 2 (Известные данные)'!$A$2:$D$501,2,FALSE)</f>
        <v>87654</v>
      </c>
      <c r="E171" s="43">
        <f>ROUND(D171*VLOOKUP(B171,'Задание 2 (Справочник)'!$B$8:$D$12,2,FALSE)/(1-VLOOKUP(B171,'Задание 2 (Справочник)'!$B$8:$D$12,3,FALSE)),0)</f>
        <v>93915</v>
      </c>
      <c r="F171" s="43">
        <f>VLOOKUP(A171,'Задание 2 (Известные данные)'!$A$2:$D$501,3,FALSE)</f>
        <v>64426</v>
      </c>
      <c r="G171" s="37">
        <f>F171*VLOOKUP(A171,'Задание 2 (Известные данные)'!$A$2:$D$501,4,FALSE)/1000</f>
        <v>8955.214</v>
      </c>
      <c r="H171" s="43">
        <f>ROUND(E171*VLOOKUP(C171,'Задание 2 (Справочник)'!$B$16:$C$18,2,FALSE),0)</f>
        <v>939</v>
      </c>
      <c r="I171" s="43">
        <f t="shared" si="2"/>
        <v>4487</v>
      </c>
    </row>
    <row r="172" ht="13.5" customHeight="1">
      <c r="A172" s="1" t="s">
        <v>278</v>
      </c>
      <c r="B172" s="1" t="s">
        <v>75</v>
      </c>
      <c r="C172" s="41" t="str">
        <f t="shared" si="1"/>
        <v>Маленький</v>
      </c>
      <c r="D172" s="42">
        <f>VLOOKUP(A172,'Задание 2 (Известные данные)'!$A$2:$D$501,2,FALSE)</f>
        <v>23456</v>
      </c>
      <c r="E172" s="43">
        <f>ROUND(D172*VLOOKUP(B172,'Задание 2 (Справочник)'!$B$8:$D$12,2,FALSE)/(1-VLOOKUP(B172,'Задание 2 (Справочник)'!$B$8:$D$12,3,FALSE)),0)</f>
        <v>25131</v>
      </c>
      <c r="F172" s="43">
        <f>VLOOKUP(A172,'Задание 2 (Известные данные)'!$A$2:$D$501,3,FALSE)</f>
        <v>17240</v>
      </c>
      <c r="G172" s="37">
        <f>F172*VLOOKUP(A172,'Задание 2 (Известные данные)'!$A$2:$D$501,4,FALSE)/1000</f>
        <v>1810.2</v>
      </c>
      <c r="H172" s="43">
        <f>ROUND(E172*VLOOKUP(C172,'Задание 2 (Справочник)'!$B$16:$C$18,2,FALSE),0)</f>
        <v>251</v>
      </c>
      <c r="I172" s="43">
        <f t="shared" si="2"/>
        <v>907.61</v>
      </c>
    </row>
    <row r="173" ht="13.5" customHeight="1">
      <c r="A173" s="1" t="s">
        <v>279</v>
      </c>
      <c r="B173" s="1" t="s">
        <v>75</v>
      </c>
      <c r="C173" s="41" t="str">
        <f t="shared" si="1"/>
        <v>Маленький</v>
      </c>
      <c r="D173" s="42">
        <f>VLOOKUP(A173,'Задание 2 (Известные данные)'!$A$2:$D$501,2,FALSE)</f>
        <v>98765</v>
      </c>
      <c r="E173" s="43">
        <f>ROUND(D173*VLOOKUP(B173,'Задание 2 (Справочник)'!$B$8:$D$12,2,FALSE)/(1-VLOOKUP(B173,'Задание 2 (Справочник)'!$B$8:$D$12,3,FALSE)),0)</f>
        <v>105820</v>
      </c>
      <c r="F173" s="43">
        <f>VLOOKUP(A173,'Задание 2 (Известные данные)'!$A$2:$D$501,3,FALSE)</f>
        <v>72592</v>
      </c>
      <c r="G173" s="37">
        <f>F173*VLOOKUP(A173,'Задание 2 (Известные данные)'!$A$2:$D$501,4,FALSE)/1000</f>
        <v>10235.472</v>
      </c>
      <c r="H173" s="43">
        <f>ROUND(E173*VLOOKUP(C173,'Задание 2 (Справочник)'!$B$16:$C$18,2,FALSE),0)</f>
        <v>1058</v>
      </c>
      <c r="I173" s="43">
        <f t="shared" si="2"/>
        <v>5128.32</v>
      </c>
    </row>
    <row r="174" ht="13.5" customHeight="1">
      <c r="A174" s="1" t="s">
        <v>280</v>
      </c>
      <c r="B174" s="1" t="s">
        <v>75</v>
      </c>
      <c r="C174" s="41" t="str">
        <f t="shared" si="1"/>
        <v>Маленький</v>
      </c>
      <c r="D174" s="42">
        <f>VLOOKUP(A174,'Задание 2 (Известные данные)'!$A$2:$D$501,2,FALSE)</f>
        <v>34567</v>
      </c>
      <c r="E174" s="43">
        <f>ROUND(D174*VLOOKUP(B174,'Задание 2 (Справочник)'!$B$8:$D$12,2,FALSE)/(1-VLOOKUP(B174,'Задание 2 (Справочник)'!$B$8:$D$12,3,FALSE)),0)</f>
        <v>37036</v>
      </c>
      <c r="F174" s="43">
        <f>VLOOKUP(A174,'Задание 2 (Известные данные)'!$A$2:$D$501,3,FALSE)</f>
        <v>25407</v>
      </c>
      <c r="G174" s="37">
        <f>F174*VLOOKUP(A174,'Задание 2 (Известные данные)'!$A$2:$D$501,4,FALSE)/1000</f>
        <v>2972.619</v>
      </c>
      <c r="H174" s="43">
        <f>ROUND(E174*VLOOKUP(C174,'Задание 2 (Справочник)'!$B$16:$C$18,2,FALSE),0)</f>
        <v>370</v>
      </c>
      <c r="I174" s="43">
        <f t="shared" si="2"/>
        <v>1490.01</v>
      </c>
    </row>
    <row r="175" ht="13.5" customHeight="1">
      <c r="A175" s="1" t="s">
        <v>281</v>
      </c>
      <c r="B175" s="1" t="s">
        <v>75</v>
      </c>
      <c r="C175" s="41" t="str">
        <f t="shared" si="1"/>
        <v>Маленький</v>
      </c>
      <c r="D175" s="42">
        <f>VLOOKUP(A175,'Задание 2 (Известные данные)'!$A$2:$D$501,2,FALSE)</f>
        <v>65432</v>
      </c>
      <c r="E175" s="43">
        <f>ROUND(D175*VLOOKUP(B175,'Задание 2 (Справочник)'!$B$8:$D$12,2,FALSE)/(1-VLOOKUP(B175,'Задание 2 (Справочник)'!$B$8:$D$12,3,FALSE)),0)</f>
        <v>70106</v>
      </c>
      <c r="F175" s="43">
        <f>VLOOKUP(A175,'Задание 2 (Известные данные)'!$A$2:$D$501,3,FALSE)</f>
        <v>48093</v>
      </c>
      <c r="G175" s="37">
        <f>F175*VLOOKUP(A175,'Задание 2 (Известные данные)'!$A$2:$D$501,4,FALSE)/1000</f>
        <v>6203.997</v>
      </c>
      <c r="H175" s="43">
        <f>ROUND(E175*VLOOKUP(C175,'Задание 2 (Справочник)'!$B$16:$C$18,2,FALSE),0)</f>
        <v>701</v>
      </c>
      <c r="I175" s="43">
        <f t="shared" si="2"/>
        <v>3109.01</v>
      </c>
    </row>
    <row r="176" ht="13.5" customHeight="1">
      <c r="A176" s="1" t="s">
        <v>282</v>
      </c>
      <c r="B176" s="1" t="s">
        <v>75</v>
      </c>
      <c r="C176" s="41" t="str">
        <f t="shared" si="1"/>
        <v>Маленький</v>
      </c>
      <c r="D176" s="42">
        <f>VLOOKUP(A176,'Задание 2 (Известные данные)'!$A$2:$D$501,2,FALSE)</f>
        <v>12345</v>
      </c>
      <c r="E176" s="43">
        <f>ROUND(D176*VLOOKUP(B176,'Задание 2 (Справочник)'!$B$8:$D$12,2,FALSE)/(1-VLOOKUP(B176,'Задание 2 (Справочник)'!$B$8:$D$12,3,FALSE)),0)</f>
        <v>13227</v>
      </c>
      <c r="F176" s="43">
        <f>VLOOKUP(A176,'Задание 2 (Известные данные)'!$A$2:$D$501,3,FALSE)</f>
        <v>9073</v>
      </c>
      <c r="G176" s="37">
        <f>F176*VLOOKUP(A176,'Задание 2 (Известные данные)'!$A$2:$D$501,4,FALSE)/1000</f>
        <v>871.008</v>
      </c>
      <c r="H176" s="43">
        <f>ROUND(E176*VLOOKUP(C176,'Задание 2 (Справочник)'!$B$16:$C$18,2,FALSE),0)</f>
        <v>132</v>
      </c>
      <c r="I176" s="43">
        <f t="shared" si="2"/>
        <v>436.82</v>
      </c>
    </row>
    <row r="177" ht="13.5" customHeight="1">
      <c r="A177" s="1" t="s">
        <v>283</v>
      </c>
      <c r="B177" s="1" t="s">
        <v>75</v>
      </c>
      <c r="C177" s="41" t="str">
        <f t="shared" si="1"/>
        <v>Маленький</v>
      </c>
      <c r="D177" s="42">
        <f>VLOOKUP(A177,'Задание 2 (Известные данные)'!$A$2:$D$501,2,FALSE)</f>
        <v>76543</v>
      </c>
      <c r="E177" s="43">
        <f>ROUND(D177*VLOOKUP(B177,'Задание 2 (Справочник)'!$B$8:$D$12,2,FALSE)/(1-VLOOKUP(B177,'Задание 2 (Справочник)'!$B$8:$D$12,3,FALSE)),0)</f>
        <v>82010</v>
      </c>
      <c r="F177" s="43">
        <f>VLOOKUP(A177,'Задание 2 (Известные данные)'!$A$2:$D$501,3,FALSE)</f>
        <v>56259</v>
      </c>
      <c r="G177" s="37">
        <f>F177*VLOOKUP(A177,'Задание 2 (Известные данные)'!$A$2:$D$501,4,FALSE)/1000</f>
        <v>7538.706</v>
      </c>
      <c r="H177" s="43">
        <f>ROUND(E177*VLOOKUP(C177,'Задание 2 (Справочник)'!$B$16:$C$18,2,FALSE),0)</f>
        <v>820</v>
      </c>
      <c r="I177" s="43">
        <f t="shared" si="2"/>
        <v>3777.55</v>
      </c>
    </row>
    <row r="178" ht="13.5" customHeight="1">
      <c r="A178" s="1" t="s">
        <v>284</v>
      </c>
      <c r="B178" s="1" t="s">
        <v>75</v>
      </c>
      <c r="C178" s="41" t="str">
        <f t="shared" si="1"/>
        <v>Маленький</v>
      </c>
      <c r="D178" s="42">
        <f>VLOOKUP(A178,'Задание 2 (Известные данные)'!$A$2:$D$501,2,FALSE)</f>
        <v>43210</v>
      </c>
      <c r="E178" s="43">
        <f>ROUND(D178*VLOOKUP(B178,'Задание 2 (Справочник)'!$B$8:$D$12,2,FALSE)/(1-VLOOKUP(B178,'Задание 2 (Справочник)'!$B$8:$D$12,3,FALSE)),0)</f>
        <v>46296</v>
      </c>
      <c r="F178" s="43">
        <f>VLOOKUP(A178,'Задание 2 (Известные данные)'!$A$2:$D$501,3,FALSE)</f>
        <v>31760</v>
      </c>
      <c r="G178" s="37">
        <f>F178*VLOOKUP(A178,'Задание 2 (Известные данные)'!$A$2:$D$501,4,FALSE)/1000</f>
        <v>3493.6</v>
      </c>
      <c r="H178" s="43">
        <f>ROUND(E178*VLOOKUP(C178,'Задание 2 (Справочник)'!$B$16:$C$18,2,FALSE),0)</f>
        <v>463</v>
      </c>
      <c r="I178" s="43">
        <f t="shared" si="2"/>
        <v>1751.43</v>
      </c>
    </row>
    <row r="179" ht="13.5" customHeight="1">
      <c r="A179" s="1" t="s">
        <v>285</v>
      </c>
      <c r="B179" s="1" t="s">
        <v>75</v>
      </c>
      <c r="C179" s="41" t="str">
        <f t="shared" si="1"/>
        <v>Маленький</v>
      </c>
      <c r="D179" s="42">
        <f>VLOOKUP(A179,'Задание 2 (Известные данные)'!$A$2:$D$501,2,FALSE)</f>
        <v>56789</v>
      </c>
      <c r="E179" s="43">
        <f>ROUND(D179*VLOOKUP(B179,'Задание 2 (Справочник)'!$B$8:$D$12,2,FALSE)/(1-VLOOKUP(B179,'Задание 2 (Справочник)'!$B$8:$D$12,3,FALSE)),0)</f>
        <v>60845</v>
      </c>
      <c r="F179" s="43">
        <f>VLOOKUP(A179,'Задание 2 (Известные данные)'!$A$2:$D$501,3,FALSE)</f>
        <v>41740</v>
      </c>
      <c r="G179" s="37">
        <f>F179*VLOOKUP(A179,'Задание 2 (Известные данные)'!$A$2:$D$501,4,FALSE)/1000</f>
        <v>5050.54</v>
      </c>
      <c r="H179" s="43">
        <f>ROUND(E179*VLOOKUP(C179,'Задание 2 (Справочник)'!$B$16:$C$18,2,FALSE),0)</f>
        <v>608</v>
      </c>
      <c r="I179" s="43">
        <f t="shared" si="2"/>
        <v>2531.35</v>
      </c>
    </row>
    <row r="180" ht="13.5" customHeight="1">
      <c r="A180" s="1" t="s">
        <v>286</v>
      </c>
      <c r="B180" s="1" t="s">
        <v>75</v>
      </c>
      <c r="C180" s="41" t="str">
        <f t="shared" si="1"/>
        <v>Маленький</v>
      </c>
      <c r="D180" s="42">
        <f>VLOOKUP(A180,'Задание 2 (Известные данные)'!$A$2:$D$501,2,FALSE)</f>
        <v>87654</v>
      </c>
      <c r="E180" s="43">
        <f>ROUND(D180*VLOOKUP(B180,'Задание 2 (Справочник)'!$B$8:$D$12,2,FALSE)/(1-VLOOKUP(B180,'Задание 2 (Справочник)'!$B$8:$D$12,3,FALSE)),0)</f>
        <v>93915</v>
      </c>
      <c r="F180" s="43">
        <f>VLOOKUP(A180,'Задание 2 (Известные данные)'!$A$2:$D$501,3,FALSE)</f>
        <v>64426</v>
      </c>
      <c r="G180" s="37">
        <f>F180*VLOOKUP(A180,'Задание 2 (Известные данные)'!$A$2:$D$501,4,FALSE)/1000</f>
        <v>9019.64</v>
      </c>
      <c r="H180" s="43">
        <f>ROUND(E180*VLOOKUP(C180,'Задание 2 (Справочник)'!$B$16:$C$18,2,FALSE),0)</f>
        <v>939</v>
      </c>
      <c r="I180" s="43">
        <f t="shared" si="2"/>
        <v>4519.21</v>
      </c>
    </row>
    <row r="181" ht="13.5" customHeight="1">
      <c r="A181" s="1" t="s">
        <v>287</v>
      </c>
      <c r="B181" s="1" t="s">
        <v>75</v>
      </c>
      <c r="C181" s="41" t="str">
        <f t="shared" si="1"/>
        <v>Маленький</v>
      </c>
      <c r="D181" s="42">
        <f>VLOOKUP(A181,'Задание 2 (Известные данные)'!$A$2:$D$501,2,FALSE)</f>
        <v>23456</v>
      </c>
      <c r="E181" s="43">
        <f>ROUND(D181*VLOOKUP(B181,'Задание 2 (Справочник)'!$B$8:$D$12,2,FALSE)/(1-VLOOKUP(B181,'Задание 2 (Справочник)'!$B$8:$D$12,3,FALSE)),0)</f>
        <v>25131</v>
      </c>
      <c r="F181" s="43">
        <f>VLOOKUP(A181,'Задание 2 (Известные данные)'!$A$2:$D$501,3,FALSE)</f>
        <v>17240</v>
      </c>
      <c r="G181" s="37">
        <f>F181*VLOOKUP(A181,'Задание 2 (Известные данные)'!$A$2:$D$501,4,FALSE)/1000</f>
        <v>1792.96</v>
      </c>
      <c r="H181" s="43">
        <f>ROUND(E181*VLOOKUP(C181,'Задание 2 (Справочник)'!$B$16:$C$18,2,FALSE),0)</f>
        <v>251</v>
      </c>
      <c r="I181" s="43">
        <f t="shared" si="2"/>
        <v>898.99</v>
      </c>
    </row>
    <row r="182" ht="13.5" customHeight="1">
      <c r="A182" s="1" t="s">
        <v>288</v>
      </c>
      <c r="B182" s="1" t="s">
        <v>75</v>
      </c>
      <c r="C182" s="41" t="str">
        <f t="shared" si="1"/>
        <v>Маленький</v>
      </c>
      <c r="D182" s="42">
        <f>VLOOKUP(A182,'Задание 2 (Известные данные)'!$A$2:$D$501,2,FALSE)</f>
        <v>98765</v>
      </c>
      <c r="E182" s="43">
        <f>ROUND(D182*VLOOKUP(B182,'Задание 2 (Справочник)'!$B$8:$D$12,2,FALSE)/(1-VLOOKUP(B182,'Задание 2 (Справочник)'!$B$8:$D$12,3,FALSE)),0)</f>
        <v>105820</v>
      </c>
      <c r="F182" s="43">
        <f>VLOOKUP(A182,'Задание 2 (Известные данные)'!$A$2:$D$501,3,FALSE)</f>
        <v>72592</v>
      </c>
      <c r="G182" s="37">
        <f>F182*VLOOKUP(A182,'Задание 2 (Известные данные)'!$A$2:$D$501,4,FALSE)/1000</f>
        <v>10525.84</v>
      </c>
      <c r="H182" s="43">
        <f>ROUND(E182*VLOOKUP(C182,'Задание 2 (Справочник)'!$B$16:$C$18,2,FALSE),0)</f>
        <v>1058</v>
      </c>
      <c r="I182" s="43">
        <f t="shared" si="2"/>
        <v>5273.5</v>
      </c>
    </row>
    <row r="183" ht="13.5" customHeight="1">
      <c r="A183" s="1" t="s">
        <v>289</v>
      </c>
      <c r="B183" s="1" t="s">
        <v>76</v>
      </c>
      <c r="C183" s="41" t="str">
        <f t="shared" si="1"/>
        <v>Большой</v>
      </c>
      <c r="D183" s="42">
        <f>VLOOKUP(A183,'Задание 2 (Известные данные)'!$A$2:$D$501,2,FALSE)</f>
        <v>2876543</v>
      </c>
      <c r="E183" s="43">
        <f>ROUND(D183*VLOOKUP(B183,'Задание 2 (Справочник)'!$B$8:$D$12,2,FALSE)/(1-VLOOKUP(B183,'Задание 2 (Справочник)'!$B$8:$D$12,3,FALSE)),0)</f>
        <v>2876543</v>
      </c>
      <c r="F183" s="43">
        <f>VLOOKUP(A183,'Задание 2 (Известные данные)'!$A$2:$D$501,3,FALSE)</f>
        <v>2013580</v>
      </c>
      <c r="G183" s="37">
        <f>F183*VLOOKUP(A183,'Задание 2 (Известные данные)'!$A$2:$D$501,4,FALSE)/1000</f>
        <v>265792.56</v>
      </c>
      <c r="H183" s="43">
        <f>ROUND(E183*VLOOKUP(C183,'Задание 2 (Справочник)'!$B$16:$C$18,2,FALSE),0)</f>
        <v>14383</v>
      </c>
      <c r="I183" s="43">
        <f t="shared" si="2"/>
        <v>133040.11</v>
      </c>
    </row>
    <row r="184" ht="13.5" customHeight="1">
      <c r="A184" s="1" t="s">
        <v>290</v>
      </c>
      <c r="B184" s="1" t="s">
        <v>76</v>
      </c>
      <c r="C184" s="41" t="str">
        <f t="shared" si="1"/>
        <v>Большой</v>
      </c>
      <c r="D184" s="42">
        <f>VLOOKUP(A184,'Задание 2 (Известные данные)'!$A$2:$D$501,2,FALSE)</f>
        <v>3987612</v>
      </c>
      <c r="E184" s="43">
        <f>ROUND(D184*VLOOKUP(B184,'Задание 2 (Справочник)'!$B$8:$D$12,2,FALSE)/(1-VLOOKUP(B184,'Задание 2 (Справочник)'!$B$8:$D$12,3,FALSE)),0)</f>
        <v>3987612</v>
      </c>
      <c r="F184" s="43">
        <f>VLOOKUP(A184,'Задание 2 (Известные данные)'!$A$2:$D$501,3,FALSE)</f>
        <v>2791328</v>
      </c>
      <c r="G184" s="37">
        <f>F184*VLOOKUP(A184,'Задание 2 (Известные данные)'!$A$2:$D$501,4,FALSE)/1000</f>
        <v>407533.888</v>
      </c>
      <c r="H184" s="43">
        <f>ROUND(E184*VLOOKUP(C184,'Задание 2 (Справочник)'!$B$16:$C$18,2,FALSE),0)</f>
        <v>19938</v>
      </c>
      <c r="I184" s="43">
        <f t="shared" si="2"/>
        <v>203966.32</v>
      </c>
    </row>
    <row r="185" ht="13.5" customHeight="1">
      <c r="A185" s="1" t="s">
        <v>291</v>
      </c>
      <c r="B185" s="1" t="s">
        <v>76</v>
      </c>
      <c r="C185" s="41" t="str">
        <f t="shared" si="1"/>
        <v>Большой</v>
      </c>
      <c r="D185" s="42">
        <f>VLOOKUP(A185,'Задание 2 (Известные данные)'!$A$2:$D$501,2,FALSE)</f>
        <v>1765432</v>
      </c>
      <c r="E185" s="43">
        <f>ROUND(D185*VLOOKUP(B185,'Задание 2 (Справочник)'!$B$8:$D$12,2,FALSE)/(1-VLOOKUP(B185,'Задание 2 (Справочник)'!$B$8:$D$12,3,FALSE)),0)</f>
        <v>1765432</v>
      </c>
      <c r="F185" s="43">
        <f>VLOOKUP(A185,'Задание 2 (Известные данные)'!$A$2:$D$501,3,FALSE)</f>
        <v>1235802</v>
      </c>
      <c r="G185" s="37">
        <f>F185*VLOOKUP(A185,'Задание 2 (Известные данные)'!$A$2:$D$501,4,FALSE)/1000</f>
        <v>145824.636</v>
      </c>
      <c r="H185" s="43">
        <f>ROUND(E185*VLOOKUP(C185,'Задание 2 (Справочник)'!$B$16:$C$18,2,FALSE),0)</f>
        <v>8827</v>
      </c>
      <c r="I185" s="43">
        <f t="shared" si="2"/>
        <v>73000.59</v>
      </c>
    </row>
    <row r="186" ht="13.5" customHeight="1">
      <c r="A186" s="1" t="s">
        <v>292</v>
      </c>
      <c r="B186" s="1" t="s">
        <v>76</v>
      </c>
      <c r="C186" s="41" t="str">
        <f t="shared" si="1"/>
        <v>Большой</v>
      </c>
      <c r="D186" s="42">
        <f>VLOOKUP(A186,'Задание 2 (Известные данные)'!$A$2:$D$501,2,FALSE)</f>
        <v>5123987</v>
      </c>
      <c r="E186" s="43">
        <f>ROUND(D186*VLOOKUP(B186,'Задание 2 (Справочник)'!$B$8:$D$12,2,FALSE)/(1-VLOOKUP(B186,'Задание 2 (Справочник)'!$B$8:$D$12,3,FALSE)),0)</f>
        <v>5123987</v>
      </c>
      <c r="F186" s="43">
        <f>VLOOKUP(A186,'Задание 2 (Известные данные)'!$A$2:$D$501,3,FALSE)</f>
        <v>3586791</v>
      </c>
      <c r="G186" s="37">
        <f>F186*VLOOKUP(A186,'Задание 2 (Известные данные)'!$A$2:$D$501,4,FALSE)/1000</f>
        <v>534431.859</v>
      </c>
      <c r="H186" s="43">
        <f>ROUND(E186*VLOOKUP(C186,'Задание 2 (Справочник)'!$B$16:$C$18,2,FALSE),0)</f>
        <v>25620</v>
      </c>
      <c r="I186" s="43">
        <f t="shared" si="2"/>
        <v>267472.13</v>
      </c>
    </row>
    <row r="187" ht="13.5" customHeight="1">
      <c r="A187" s="1" t="s">
        <v>293</v>
      </c>
      <c r="B187" s="1" t="s">
        <v>76</v>
      </c>
      <c r="C187" s="41" t="str">
        <f t="shared" si="1"/>
        <v>Большой</v>
      </c>
      <c r="D187" s="42">
        <f>VLOOKUP(A187,'Задание 2 (Известные данные)'!$A$2:$D$501,2,FALSE)</f>
        <v>2345678</v>
      </c>
      <c r="E187" s="43">
        <f>ROUND(D187*VLOOKUP(B187,'Задание 2 (Справочник)'!$B$8:$D$12,2,FALSE)/(1-VLOOKUP(B187,'Задание 2 (Справочник)'!$B$8:$D$12,3,FALSE)),0)</f>
        <v>2345678</v>
      </c>
      <c r="F187" s="43">
        <f>VLOOKUP(A187,'Задание 2 (Известные данные)'!$A$2:$D$501,3,FALSE)</f>
        <v>1641975</v>
      </c>
      <c r="G187" s="37">
        <f>F187*VLOOKUP(A187,'Задание 2 (Известные данные)'!$A$2:$D$501,4,FALSE)/1000</f>
        <v>208530.825</v>
      </c>
      <c r="H187" s="43">
        <f>ROUND(E187*VLOOKUP(C187,'Задание 2 (Справочник)'!$B$16:$C$18,2,FALSE),0)</f>
        <v>11728</v>
      </c>
      <c r="I187" s="43">
        <f t="shared" si="2"/>
        <v>104382.69</v>
      </c>
    </row>
    <row r="188" ht="13.5" customHeight="1">
      <c r="A188" s="1" t="s">
        <v>294</v>
      </c>
      <c r="B188" s="1" t="s">
        <v>76</v>
      </c>
      <c r="C188" s="41" t="str">
        <f t="shared" si="1"/>
        <v>Большой</v>
      </c>
      <c r="D188" s="42">
        <f>VLOOKUP(A188,'Задание 2 (Известные данные)'!$A$2:$D$501,2,FALSE)</f>
        <v>3456789</v>
      </c>
      <c r="E188" s="43">
        <f>ROUND(D188*VLOOKUP(B188,'Задание 2 (Справочник)'!$B$8:$D$12,2,FALSE)/(1-VLOOKUP(B188,'Задание 2 (Справочник)'!$B$8:$D$12,3,FALSE)),0)</f>
        <v>3456789</v>
      </c>
      <c r="F188" s="43">
        <f>VLOOKUP(A188,'Задание 2 (Известные данные)'!$A$2:$D$501,3,FALSE)</f>
        <v>2419752</v>
      </c>
      <c r="G188" s="37">
        <f>F188*VLOOKUP(A188,'Задание 2 (Известные данные)'!$A$2:$D$501,4,FALSE)/1000</f>
        <v>341185.032</v>
      </c>
      <c r="H188" s="43">
        <f>ROUND(E188*VLOOKUP(C188,'Задание 2 (Справочник)'!$B$16:$C$18,2,FALSE),0)</f>
        <v>17284</v>
      </c>
      <c r="I188" s="43">
        <f t="shared" si="2"/>
        <v>170765.36</v>
      </c>
    </row>
    <row r="189" ht="13.5" customHeight="1">
      <c r="A189" s="1" t="s">
        <v>295</v>
      </c>
      <c r="B189" s="1" t="s">
        <v>76</v>
      </c>
      <c r="C189" s="41" t="str">
        <f t="shared" si="1"/>
        <v>Большой</v>
      </c>
      <c r="D189" s="42">
        <f>VLOOKUP(A189,'Задание 2 (Известные данные)'!$A$2:$D$501,2,FALSE)</f>
        <v>4234567</v>
      </c>
      <c r="E189" s="43">
        <f>ROUND(D189*VLOOKUP(B189,'Задание 2 (Справочник)'!$B$8:$D$12,2,FALSE)/(1-VLOOKUP(B189,'Задание 2 (Справочник)'!$B$8:$D$12,3,FALSE)),0)</f>
        <v>4234567</v>
      </c>
      <c r="F189" s="43">
        <f>VLOOKUP(A189,'Задание 2 (Известные данные)'!$A$2:$D$501,3,FALSE)</f>
        <v>2964197</v>
      </c>
      <c r="G189" s="37">
        <f>F189*VLOOKUP(A189,'Задание 2 (Известные данные)'!$A$2:$D$501,4,FALSE)/1000</f>
        <v>426844.368</v>
      </c>
      <c r="H189" s="43">
        <f>ROUND(E189*VLOOKUP(C189,'Задание 2 (Справочник)'!$B$16:$C$18,2,FALSE),0)</f>
        <v>21173</v>
      </c>
      <c r="I189" s="43">
        <f t="shared" si="2"/>
        <v>213633.91</v>
      </c>
    </row>
    <row r="190" ht="13.5" customHeight="1">
      <c r="A190" s="1" t="s">
        <v>296</v>
      </c>
      <c r="B190" s="1" t="s">
        <v>76</v>
      </c>
      <c r="C190" s="41" t="str">
        <f t="shared" si="1"/>
        <v>Большой</v>
      </c>
      <c r="D190" s="42">
        <f>VLOOKUP(A190,'Задание 2 (Известные данные)'!$A$2:$D$501,2,FALSE)</f>
        <v>1987654</v>
      </c>
      <c r="E190" s="43">
        <f>ROUND(D190*VLOOKUP(B190,'Задание 2 (Справочник)'!$B$8:$D$12,2,FALSE)/(1-VLOOKUP(B190,'Задание 2 (Справочник)'!$B$8:$D$12,3,FALSE)),0)</f>
        <v>1987654</v>
      </c>
      <c r="F190" s="43">
        <f>VLOOKUP(A190,'Задание 2 (Известные данные)'!$A$2:$D$501,3,FALSE)</f>
        <v>1391358</v>
      </c>
      <c r="G190" s="37">
        <f>F190*VLOOKUP(A190,'Задание 2 (Известные данные)'!$A$2:$D$501,4,FALSE)/1000</f>
        <v>160006.17</v>
      </c>
      <c r="H190" s="43">
        <f>ROUND(E190*VLOOKUP(C190,'Задание 2 (Справочник)'!$B$16:$C$18,2,FALSE),0)</f>
        <v>9938</v>
      </c>
      <c r="I190" s="43">
        <f t="shared" si="2"/>
        <v>80102.47</v>
      </c>
    </row>
    <row r="191" ht="13.5" customHeight="1">
      <c r="A191" s="1" t="s">
        <v>297</v>
      </c>
      <c r="B191" s="1" t="s">
        <v>76</v>
      </c>
      <c r="C191" s="41" t="str">
        <f t="shared" si="1"/>
        <v>Большой</v>
      </c>
      <c r="D191" s="42">
        <f>VLOOKUP(A191,'Задание 2 (Известные данные)'!$A$2:$D$501,2,FALSE)</f>
        <v>3678901</v>
      </c>
      <c r="E191" s="43">
        <f>ROUND(D191*VLOOKUP(B191,'Задание 2 (Справочник)'!$B$8:$D$12,2,FALSE)/(1-VLOOKUP(B191,'Задание 2 (Справочник)'!$B$8:$D$12,3,FALSE)),0)</f>
        <v>3678901</v>
      </c>
      <c r="F191" s="43">
        <f>VLOOKUP(A191,'Задание 2 (Известные данные)'!$A$2:$D$501,3,FALSE)</f>
        <v>2575231</v>
      </c>
      <c r="G191" s="37">
        <f>F191*VLOOKUP(A191,'Задание 2 (Известные данные)'!$A$2:$D$501,4,FALSE)/1000</f>
        <v>357957.109</v>
      </c>
      <c r="H191" s="43">
        <f>ROUND(E191*VLOOKUP(C191,'Задание 2 (Справочник)'!$B$16:$C$18,2,FALSE),0)</f>
        <v>18395</v>
      </c>
      <c r="I191" s="43">
        <f t="shared" si="2"/>
        <v>179162.5</v>
      </c>
    </row>
    <row r="192" ht="13.5" customHeight="1">
      <c r="A192" s="1" t="s">
        <v>298</v>
      </c>
      <c r="B192" s="1" t="s">
        <v>76</v>
      </c>
      <c r="C192" s="41" t="str">
        <f t="shared" si="1"/>
        <v>Большой</v>
      </c>
      <c r="D192" s="42">
        <f>VLOOKUP(A192,'Задание 2 (Известные данные)'!$A$2:$D$501,2,FALSE)</f>
        <v>2765432</v>
      </c>
      <c r="E192" s="43">
        <f>ROUND(D192*VLOOKUP(B192,'Задание 2 (Справочник)'!$B$8:$D$12,2,FALSE)/(1-VLOOKUP(B192,'Задание 2 (Справочник)'!$B$8:$D$12,3,FALSE)),0)</f>
        <v>2765432</v>
      </c>
      <c r="F192" s="43">
        <f>VLOOKUP(A192,'Задание 2 (Известные данные)'!$A$2:$D$501,3,FALSE)</f>
        <v>1935802</v>
      </c>
      <c r="G192" s="37">
        <f>F192*VLOOKUP(A192,'Задание 2 (Известные данные)'!$A$2:$D$501,4,FALSE)/1000</f>
        <v>251654.26</v>
      </c>
      <c r="H192" s="43">
        <f>ROUND(E192*VLOOKUP(C192,'Задание 2 (Справочник)'!$B$16:$C$18,2,FALSE),0)</f>
        <v>13827</v>
      </c>
      <c r="I192" s="43">
        <f t="shared" si="2"/>
        <v>125965.4</v>
      </c>
    </row>
    <row r="193" ht="13.5" customHeight="1">
      <c r="A193" s="1" t="s">
        <v>299</v>
      </c>
      <c r="B193" s="1" t="s">
        <v>76</v>
      </c>
      <c r="C193" s="41" t="str">
        <f t="shared" si="1"/>
        <v>Большой</v>
      </c>
      <c r="D193" s="42">
        <f>VLOOKUP(A193,'Задание 2 (Известные данные)'!$A$2:$D$501,2,FALSE)</f>
        <v>4509876</v>
      </c>
      <c r="E193" s="43">
        <f>ROUND(D193*VLOOKUP(B193,'Задание 2 (Справочник)'!$B$8:$D$12,2,FALSE)/(1-VLOOKUP(B193,'Задание 2 (Справочник)'!$B$8:$D$12,3,FALSE)),0)</f>
        <v>4509876</v>
      </c>
      <c r="F193" s="43">
        <f>VLOOKUP(A193,'Задание 2 (Известные данные)'!$A$2:$D$501,3,FALSE)</f>
        <v>3156913</v>
      </c>
      <c r="G193" s="37">
        <f>F193*VLOOKUP(A193,'Задание 2 (Известные данные)'!$A$2:$D$501,4,FALSE)/1000</f>
        <v>467223.124</v>
      </c>
      <c r="H193" s="43">
        <f>ROUND(E193*VLOOKUP(C193,'Задание 2 (Справочник)'!$B$16:$C$18,2,FALSE),0)</f>
        <v>22549</v>
      </c>
      <c r="I193" s="43">
        <f t="shared" si="2"/>
        <v>233837.05</v>
      </c>
    </row>
    <row r="194" ht="13.5" customHeight="1">
      <c r="A194" s="1" t="s">
        <v>300</v>
      </c>
      <c r="B194" s="1" t="s">
        <v>76</v>
      </c>
      <c r="C194" s="41" t="str">
        <f t="shared" si="1"/>
        <v>Большой</v>
      </c>
      <c r="D194" s="42">
        <f>VLOOKUP(A194,'Задание 2 (Известные данные)'!$A$2:$D$501,2,FALSE)</f>
        <v>3210987</v>
      </c>
      <c r="E194" s="43">
        <f>ROUND(D194*VLOOKUP(B194,'Задание 2 (Справочник)'!$B$8:$D$12,2,FALSE)/(1-VLOOKUP(B194,'Задание 2 (Справочник)'!$B$8:$D$12,3,FALSE)),0)</f>
        <v>3210987</v>
      </c>
      <c r="F194" s="43">
        <f>VLOOKUP(A194,'Задание 2 (Известные данные)'!$A$2:$D$501,3,FALSE)</f>
        <v>2247691</v>
      </c>
      <c r="G194" s="37">
        <f>F194*VLOOKUP(A194,'Задание 2 (Известные данные)'!$A$2:$D$501,4,FALSE)/1000</f>
        <v>303438.285</v>
      </c>
      <c r="H194" s="43">
        <f>ROUND(E194*VLOOKUP(C194,'Задание 2 (Справочник)'!$B$16:$C$18,2,FALSE),0)</f>
        <v>16055</v>
      </c>
      <c r="I194" s="43">
        <f t="shared" si="2"/>
        <v>151879.69</v>
      </c>
    </row>
    <row r="195" ht="13.5" customHeight="1">
      <c r="A195" s="1" t="s">
        <v>301</v>
      </c>
      <c r="B195" s="1" t="s">
        <v>76</v>
      </c>
      <c r="C195" s="41" t="str">
        <f t="shared" si="1"/>
        <v>Большой</v>
      </c>
      <c r="D195" s="42">
        <f>VLOOKUP(A195,'Задание 2 (Известные данные)'!$A$2:$D$501,2,FALSE)</f>
        <v>1876543</v>
      </c>
      <c r="E195" s="43">
        <f>ROUND(D195*VLOOKUP(B195,'Задание 2 (Справочник)'!$B$8:$D$12,2,FALSE)/(1-VLOOKUP(B195,'Задание 2 (Справочник)'!$B$8:$D$12,3,FALSE)),0)</f>
        <v>1876543</v>
      </c>
      <c r="F195" s="43">
        <f>VLOOKUP(A195,'Задание 2 (Известные данные)'!$A$2:$D$501,3,FALSE)</f>
        <v>1313580</v>
      </c>
      <c r="G195" s="37">
        <f>F195*VLOOKUP(A195,'Задание 2 (Известные данные)'!$A$2:$D$501,4,FALSE)/1000</f>
        <v>156316.02</v>
      </c>
      <c r="H195" s="43">
        <f>ROUND(E195*VLOOKUP(C195,'Задание 2 (Справочник)'!$B$16:$C$18,2,FALSE),0)</f>
        <v>9383</v>
      </c>
      <c r="I195" s="43">
        <f t="shared" si="2"/>
        <v>78251.84</v>
      </c>
    </row>
    <row r="196" ht="13.5" customHeight="1">
      <c r="A196" s="1" t="s">
        <v>302</v>
      </c>
      <c r="B196" s="1" t="s">
        <v>76</v>
      </c>
      <c r="C196" s="41" t="str">
        <f t="shared" si="1"/>
        <v>Большой</v>
      </c>
      <c r="D196" s="42">
        <f>VLOOKUP(A196,'Задание 2 (Известные данные)'!$A$2:$D$501,2,FALSE)</f>
        <v>4987612</v>
      </c>
      <c r="E196" s="43">
        <f>ROUND(D196*VLOOKUP(B196,'Задание 2 (Справочник)'!$B$8:$D$12,2,FALSE)/(1-VLOOKUP(B196,'Задание 2 (Справочник)'!$B$8:$D$12,3,FALSE)),0)</f>
        <v>4987612</v>
      </c>
      <c r="F196" s="43">
        <f>VLOOKUP(A196,'Задание 2 (Известные данные)'!$A$2:$D$501,3,FALSE)</f>
        <v>3491328</v>
      </c>
      <c r="G196" s="37">
        <f>F196*VLOOKUP(A196,'Задание 2 (Известные данные)'!$A$2:$D$501,4,FALSE)/1000</f>
        <v>495768.576</v>
      </c>
      <c r="H196" s="43">
        <f>ROUND(E196*VLOOKUP(C196,'Задание 2 (Справочник)'!$B$16:$C$18,2,FALSE),0)</f>
        <v>24938</v>
      </c>
      <c r="I196" s="43">
        <f t="shared" si="2"/>
        <v>248133.67</v>
      </c>
    </row>
    <row r="197" ht="13.5" customHeight="1">
      <c r="A197" s="1" t="s">
        <v>303</v>
      </c>
      <c r="B197" s="1" t="s">
        <v>76</v>
      </c>
      <c r="C197" s="41" t="str">
        <f t="shared" si="1"/>
        <v>Большой</v>
      </c>
      <c r="D197" s="42">
        <f>VLOOKUP(A197,'Задание 2 (Известные данные)'!$A$2:$D$501,2,FALSE)</f>
        <v>2345678</v>
      </c>
      <c r="E197" s="43">
        <f>ROUND(D197*VLOOKUP(B197,'Задание 2 (Справочник)'!$B$8:$D$12,2,FALSE)/(1-VLOOKUP(B197,'Задание 2 (Справочник)'!$B$8:$D$12,3,FALSE)),0)</f>
        <v>2345678</v>
      </c>
      <c r="F197" s="43">
        <f>VLOOKUP(A197,'Задание 2 (Известные данные)'!$A$2:$D$501,3,FALSE)</f>
        <v>1641975</v>
      </c>
      <c r="G197" s="37">
        <f>F197*VLOOKUP(A197,'Задание 2 (Известные данные)'!$A$2:$D$501,4,FALSE)/1000</f>
        <v>206888.85</v>
      </c>
      <c r="H197" s="43">
        <f>ROUND(E197*VLOOKUP(C197,'Задание 2 (Справочник)'!$B$16:$C$18,2,FALSE),0)</f>
        <v>11728</v>
      </c>
      <c r="I197" s="43">
        <f t="shared" si="2"/>
        <v>103561.71</v>
      </c>
    </row>
    <row r="198" ht="13.5" customHeight="1">
      <c r="A198" s="1" t="s">
        <v>304</v>
      </c>
      <c r="B198" s="1" t="s">
        <v>76</v>
      </c>
      <c r="C198" s="41" t="str">
        <f t="shared" si="1"/>
        <v>Большой</v>
      </c>
      <c r="D198" s="42">
        <f>VLOOKUP(A198,'Задание 2 (Известные данные)'!$A$2:$D$501,2,FALSE)</f>
        <v>3654321</v>
      </c>
      <c r="E198" s="43">
        <f>ROUND(D198*VLOOKUP(B198,'Задание 2 (Справочник)'!$B$8:$D$12,2,FALSE)/(1-VLOOKUP(B198,'Задание 2 (Справочник)'!$B$8:$D$12,3,FALSE)),0)</f>
        <v>3654321</v>
      </c>
      <c r="F198" s="43">
        <f>VLOOKUP(A198,'Задание 2 (Известные данные)'!$A$2:$D$501,3,FALSE)</f>
        <v>2558025</v>
      </c>
      <c r="G198" s="37">
        <f>F198*VLOOKUP(A198,'Задание 2 (Известные данные)'!$A$2:$D$501,4,FALSE)/1000</f>
        <v>353007.45</v>
      </c>
      <c r="H198" s="43">
        <f>ROUND(E198*VLOOKUP(C198,'Задание 2 (Справочник)'!$B$16:$C$18,2,FALSE),0)</f>
        <v>18272</v>
      </c>
      <c r="I198" s="43">
        <f t="shared" si="2"/>
        <v>176686.45</v>
      </c>
    </row>
    <row r="199" ht="13.5" customHeight="1">
      <c r="A199" s="1" t="s">
        <v>305</v>
      </c>
      <c r="B199" s="1" t="s">
        <v>76</v>
      </c>
      <c r="C199" s="41" t="str">
        <f t="shared" si="1"/>
        <v>Большой</v>
      </c>
      <c r="D199" s="42">
        <f>VLOOKUP(A199,'Задание 2 (Известные данные)'!$A$2:$D$501,2,FALSE)</f>
        <v>2765432</v>
      </c>
      <c r="E199" s="43">
        <f>ROUND(D199*VLOOKUP(B199,'Задание 2 (Справочник)'!$B$8:$D$12,2,FALSE)/(1-VLOOKUP(B199,'Задание 2 (Справочник)'!$B$8:$D$12,3,FALSE)),0)</f>
        <v>2765432</v>
      </c>
      <c r="F199" s="43">
        <f>VLOOKUP(A199,'Задание 2 (Известные данные)'!$A$2:$D$501,3,FALSE)</f>
        <v>1935802</v>
      </c>
      <c r="G199" s="37">
        <f>F199*VLOOKUP(A199,'Задание 2 (Известные данные)'!$A$2:$D$501,4,FALSE)/1000</f>
        <v>253590.062</v>
      </c>
      <c r="H199" s="43">
        <f>ROUND(E199*VLOOKUP(C199,'Задание 2 (Справочник)'!$B$16:$C$18,2,FALSE),0)</f>
        <v>13827</v>
      </c>
      <c r="I199" s="43">
        <f t="shared" si="2"/>
        <v>126933.3</v>
      </c>
    </row>
    <row r="200" ht="13.5" customHeight="1">
      <c r="A200" s="1" t="s">
        <v>306</v>
      </c>
      <c r="B200" s="1" t="s">
        <v>76</v>
      </c>
      <c r="C200" s="41" t="str">
        <f t="shared" si="1"/>
        <v>Большой</v>
      </c>
      <c r="D200" s="42">
        <f>VLOOKUP(A200,'Задание 2 (Известные данные)'!$A$2:$D$501,2,FALSE)</f>
        <v>3987612</v>
      </c>
      <c r="E200" s="43">
        <f>ROUND(D200*VLOOKUP(B200,'Задание 2 (Справочник)'!$B$8:$D$12,2,FALSE)/(1-VLOOKUP(B200,'Задание 2 (Справочник)'!$B$8:$D$12,3,FALSE)),0)</f>
        <v>3987612</v>
      </c>
      <c r="F200" s="43">
        <f>VLOOKUP(A200,'Задание 2 (Известные данные)'!$A$2:$D$501,3,FALSE)</f>
        <v>2791328</v>
      </c>
      <c r="G200" s="37">
        <f>F200*VLOOKUP(A200,'Задание 2 (Известные данные)'!$A$2:$D$501,4,FALSE)/1000</f>
        <v>404742.56</v>
      </c>
      <c r="H200" s="43">
        <f>ROUND(E200*VLOOKUP(C200,'Задание 2 (Справочник)'!$B$16:$C$18,2,FALSE),0)</f>
        <v>19938</v>
      </c>
      <c r="I200" s="43">
        <f t="shared" si="2"/>
        <v>202570.66</v>
      </c>
    </row>
    <row r="201" ht="13.5" customHeight="1">
      <c r="A201" s="1" t="s">
        <v>307</v>
      </c>
      <c r="B201" s="1" t="s">
        <v>76</v>
      </c>
      <c r="C201" s="41" t="str">
        <f t="shared" si="1"/>
        <v>Большой</v>
      </c>
      <c r="D201" s="42">
        <f>VLOOKUP(A201,'Задание 2 (Известные данные)'!$A$2:$D$501,2,FALSE)</f>
        <v>1876543</v>
      </c>
      <c r="E201" s="43">
        <f>ROUND(D201*VLOOKUP(B201,'Задание 2 (Справочник)'!$B$8:$D$12,2,FALSE)/(1-VLOOKUP(B201,'Задание 2 (Справочник)'!$B$8:$D$12,3,FALSE)),0)</f>
        <v>1876543</v>
      </c>
      <c r="F201" s="43">
        <f>VLOOKUP(A201,'Задание 2 (Известные данные)'!$A$2:$D$501,3,FALSE)</f>
        <v>1313580</v>
      </c>
      <c r="G201" s="37">
        <f>F201*VLOOKUP(A201,'Задание 2 (Известные данные)'!$A$2:$D$501,4,FALSE)/1000</f>
        <v>153688.86</v>
      </c>
      <c r="H201" s="43">
        <f>ROUND(E201*VLOOKUP(C201,'Задание 2 (Справочник)'!$B$16:$C$18,2,FALSE),0)</f>
        <v>9383</v>
      </c>
      <c r="I201" s="43">
        <f t="shared" si="2"/>
        <v>76938.26</v>
      </c>
    </row>
    <row r="202" ht="13.5" customHeight="1">
      <c r="A202" s="1" t="s">
        <v>308</v>
      </c>
      <c r="B202" s="1" t="s">
        <v>76</v>
      </c>
      <c r="C202" s="41" t="str">
        <f t="shared" si="1"/>
        <v>Большой</v>
      </c>
      <c r="D202" s="42">
        <f>VLOOKUP(A202,'Задание 2 (Известные данные)'!$A$2:$D$501,2,FALSE)</f>
        <v>5123987</v>
      </c>
      <c r="E202" s="43">
        <f>ROUND(D202*VLOOKUP(B202,'Задание 2 (Справочник)'!$B$8:$D$12,2,FALSE)/(1-VLOOKUP(B202,'Задание 2 (Справочник)'!$B$8:$D$12,3,FALSE)),0)</f>
        <v>5123987</v>
      </c>
      <c r="F202" s="43">
        <f>VLOOKUP(A202,'Задание 2 (Известные данные)'!$A$2:$D$501,3,FALSE)</f>
        <v>3586791</v>
      </c>
      <c r="G202" s="37">
        <f>F202*VLOOKUP(A202,'Задание 2 (Известные данные)'!$A$2:$D$501,4,FALSE)/1000</f>
        <v>538018.65</v>
      </c>
      <c r="H202" s="43">
        <f>ROUND(E202*VLOOKUP(C202,'Задание 2 (Справочник)'!$B$16:$C$18,2,FALSE),0)</f>
        <v>25620</v>
      </c>
      <c r="I202" s="43">
        <f t="shared" si="2"/>
        <v>269265.53</v>
      </c>
    </row>
    <row r="203" ht="13.5" customHeight="1">
      <c r="A203" s="1" t="s">
        <v>309</v>
      </c>
      <c r="B203" s="1" t="s">
        <v>76</v>
      </c>
      <c r="C203" s="41" t="str">
        <f t="shared" si="1"/>
        <v>Большой</v>
      </c>
      <c r="D203" s="42">
        <f>VLOOKUP(A203,'Задание 2 (Известные данные)'!$A$2:$D$501,2,FALSE)</f>
        <v>2345678</v>
      </c>
      <c r="E203" s="43">
        <f>ROUND(D203*VLOOKUP(B203,'Задание 2 (Справочник)'!$B$8:$D$12,2,FALSE)/(1-VLOOKUP(B203,'Задание 2 (Справочник)'!$B$8:$D$12,3,FALSE)),0)</f>
        <v>2345678</v>
      </c>
      <c r="F203" s="43">
        <f>VLOOKUP(A203,'Задание 2 (Известные данные)'!$A$2:$D$501,3,FALSE)</f>
        <v>1641975</v>
      </c>
      <c r="G203" s="37">
        <f>F203*VLOOKUP(A203,'Задание 2 (Известные данные)'!$A$2:$D$501,4,FALSE)/1000</f>
        <v>210172.8</v>
      </c>
      <c r="H203" s="43">
        <f>ROUND(E203*VLOOKUP(C203,'Задание 2 (Справочник)'!$B$16:$C$18,2,FALSE),0)</f>
        <v>11728</v>
      </c>
      <c r="I203" s="43">
        <f t="shared" si="2"/>
        <v>105203.68</v>
      </c>
    </row>
    <row r="204" ht="13.5" customHeight="1">
      <c r="A204" s="1" t="s">
        <v>310</v>
      </c>
      <c r="B204" s="1" t="s">
        <v>76</v>
      </c>
      <c r="C204" s="41" t="str">
        <f t="shared" si="1"/>
        <v>Большой</v>
      </c>
      <c r="D204" s="42">
        <f>VLOOKUP(A204,'Задание 2 (Известные данные)'!$A$2:$D$501,2,FALSE)</f>
        <v>3456789</v>
      </c>
      <c r="E204" s="43">
        <f>ROUND(D204*VLOOKUP(B204,'Задание 2 (Справочник)'!$B$8:$D$12,2,FALSE)/(1-VLOOKUP(B204,'Задание 2 (Справочник)'!$B$8:$D$12,3,FALSE)),0)</f>
        <v>3456789</v>
      </c>
      <c r="F204" s="43">
        <f>VLOOKUP(A204,'Задание 2 (Известные данные)'!$A$2:$D$501,3,FALSE)</f>
        <v>2419752</v>
      </c>
      <c r="G204" s="37">
        <f>F204*VLOOKUP(A204,'Задание 2 (Известные данные)'!$A$2:$D$501,4,FALSE)/1000</f>
        <v>338765.28</v>
      </c>
      <c r="H204" s="43">
        <f>ROUND(E204*VLOOKUP(C204,'Задание 2 (Справочник)'!$B$16:$C$18,2,FALSE),0)</f>
        <v>17284</v>
      </c>
      <c r="I204" s="43">
        <f t="shared" si="2"/>
        <v>169555.48</v>
      </c>
    </row>
    <row r="205" ht="13.5" customHeight="1">
      <c r="A205" s="1" t="s">
        <v>311</v>
      </c>
      <c r="B205" s="1" t="s">
        <v>76</v>
      </c>
      <c r="C205" s="41" t="str">
        <f t="shared" si="1"/>
        <v>Большой</v>
      </c>
      <c r="D205" s="42">
        <f>VLOOKUP(A205,'Задание 2 (Известные данные)'!$A$2:$D$501,2,FALSE)</f>
        <v>4234567</v>
      </c>
      <c r="E205" s="43">
        <f>ROUND(D205*VLOOKUP(B205,'Задание 2 (Справочник)'!$B$8:$D$12,2,FALSE)/(1-VLOOKUP(B205,'Задание 2 (Справочник)'!$B$8:$D$12,3,FALSE)),0)</f>
        <v>4234567</v>
      </c>
      <c r="F205" s="43">
        <f>VLOOKUP(A205,'Задание 2 (Известные данные)'!$A$2:$D$501,3,FALSE)</f>
        <v>2964197</v>
      </c>
      <c r="G205" s="37">
        <f>F205*VLOOKUP(A205,'Задание 2 (Известные данные)'!$A$2:$D$501,4,FALSE)/1000</f>
        <v>435736.959</v>
      </c>
      <c r="H205" s="43">
        <f>ROUND(E205*VLOOKUP(C205,'Задание 2 (Справочник)'!$B$16:$C$18,2,FALSE),0)</f>
        <v>21173</v>
      </c>
      <c r="I205" s="43">
        <f t="shared" si="2"/>
        <v>218080.21</v>
      </c>
    </row>
    <row r="206" ht="13.5" customHeight="1">
      <c r="A206" s="1" t="s">
        <v>312</v>
      </c>
      <c r="B206" s="1" t="s">
        <v>76</v>
      </c>
      <c r="C206" s="41" t="str">
        <f t="shared" si="1"/>
        <v>Большой</v>
      </c>
      <c r="D206" s="42">
        <f>VLOOKUP(A206,'Задание 2 (Известные данные)'!$A$2:$D$501,2,FALSE)</f>
        <v>1987654</v>
      </c>
      <c r="E206" s="43">
        <f>ROUND(D206*VLOOKUP(B206,'Задание 2 (Справочник)'!$B$8:$D$12,2,FALSE)/(1-VLOOKUP(B206,'Задание 2 (Справочник)'!$B$8:$D$12,3,FALSE)),0)</f>
        <v>1987654</v>
      </c>
      <c r="F206" s="43">
        <f>VLOOKUP(A206,'Задание 2 (Известные данные)'!$A$2:$D$501,3,FALSE)</f>
        <v>1391358</v>
      </c>
      <c r="G206" s="37">
        <f>F206*VLOOKUP(A206,'Задание 2 (Известные данные)'!$A$2:$D$501,4,FALSE)/1000</f>
        <v>161397.528</v>
      </c>
      <c r="H206" s="43">
        <f>ROUND(E206*VLOOKUP(C206,'Задание 2 (Справочник)'!$B$16:$C$18,2,FALSE),0)</f>
        <v>9938</v>
      </c>
      <c r="I206" s="43">
        <f t="shared" si="2"/>
        <v>80798.14</v>
      </c>
    </row>
    <row r="207" ht="13.5" customHeight="1">
      <c r="A207" s="1" t="s">
        <v>313</v>
      </c>
      <c r="B207" s="1" t="s">
        <v>76</v>
      </c>
      <c r="C207" s="41" t="str">
        <f t="shared" si="1"/>
        <v>Большой</v>
      </c>
      <c r="D207" s="42">
        <f>VLOOKUP(A207,'Задание 2 (Известные данные)'!$A$2:$D$501,2,FALSE)</f>
        <v>3678901</v>
      </c>
      <c r="E207" s="43">
        <f>ROUND(D207*VLOOKUP(B207,'Задание 2 (Справочник)'!$B$8:$D$12,2,FALSE)/(1-VLOOKUP(B207,'Задание 2 (Справочник)'!$B$8:$D$12,3,FALSE)),0)</f>
        <v>3678901</v>
      </c>
      <c r="F207" s="43">
        <f>VLOOKUP(A207,'Задание 2 (Известные данные)'!$A$2:$D$501,3,FALSE)</f>
        <v>2575231</v>
      </c>
      <c r="G207" s="37">
        <f>F207*VLOOKUP(A207,'Задание 2 (Известные данные)'!$A$2:$D$501,4,FALSE)/1000</f>
        <v>350231.416</v>
      </c>
      <c r="H207" s="43">
        <f>ROUND(E207*VLOOKUP(C207,'Задание 2 (Справочник)'!$B$16:$C$18,2,FALSE),0)</f>
        <v>18395</v>
      </c>
      <c r="I207" s="43">
        <f t="shared" si="2"/>
        <v>175299.66</v>
      </c>
    </row>
    <row r="208" ht="13.5" customHeight="1">
      <c r="A208" s="1" t="s">
        <v>314</v>
      </c>
      <c r="B208" s="1" t="s">
        <v>76</v>
      </c>
      <c r="C208" s="41" t="str">
        <f t="shared" si="1"/>
        <v>Большой</v>
      </c>
      <c r="D208" s="42">
        <f>VLOOKUP(A208,'Задание 2 (Известные данные)'!$A$2:$D$501,2,FALSE)</f>
        <v>2765432</v>
      </c>
      <c r="E208" s="43">
        <f>ROUND(D208*VLOOKUP(B208,'Задание 2 (Справочник)'!$B$8:$D$12,2,FALSE)/(1-VLOOKUP(B208,'Задание 2 (Справочник)'!$B$8:$D$12,3,FALSE)),0)</f>
        <v>2765432</v>
      </c>
      <c r="F208" s="43">
        <f>VLOOKUP(A208,'Задание 2 (Известные данные)'!$A$2:$D$501,3,FALSE)</f>
        <v>1935802</v>
      </c>
      <c r="G208" s="37">
        <f>F208*VLOOKUP(A208,'Задание 2 (Известные данные)'!$A$2:$D$501,4,FALSE)/1000</f>
        <v>257461.666</v>
      </c>
      <c r="H208" s="43">
        <f>ROUND(E208*VLOOKUP(C208,'Задание 2 (Справочник)'!$B$16:$C$18,2,FALSE),0)</f>
        <v>13827</v>
      </c>
      <c r="I208" s="43">
        <f t="shared" si="2"/>
        <v>128869.1</v>
      </c>
    </row>
    <row r="209" ht="13.5" customHeight="1">
      <c r="A209" s="1" t="s">
        <v>315</v>
      </c>
      <c r="B209" s="1" t="s">
        <v>76</v>
      </c>
      <c r="C209" s="41" t="str">
        <f t="shared" si="1"/>
        <v>Большой</v>
      </c>
      <c r="D209" s="42">
        <f>VLOOKUP(A209,'Задание 2 (Известные данные)'!$A$2:$D$501,2,FALSE)</f>
        <v>4509876</v>
      </c>
      <c r="E209" s="43">
        <f>ROUND(D209*VLOOKUP(B209,'Задание 2 (Справочник)'!$B$8:$D$12,2,FALSE)/(1-VLOOKUP(B209,'Задание 2 (Справочник)'!$B$8:$D$12,3,FALSE)),0)</f>
        <v>4509876</v>
      </c>
      <c r="F209" s="43">
        <f>VLOOKUP(A209,'Задание 2 (Известные данные)'!$A$2:$D$501,3,FALSE)</f>
        <v>3156913</v>
      </c>
      <c r="G209" s="37">
        <f>F209*VLOOKUP(A209,'Задание 2 (Известные данные)'!$A$2:$D$501,4,FALSE)/1000</f>
        <v>470380.037</v>
      </c>
      <c r="H209" s="43">
        <f>ROUND(E209*VLOOKUP(C209,'Задание 2 (Справочник)'!$B$16:$C$18,2,FALSE),0)</f>
        <v>22549</v>
      </c>
      <c r="I209" s="43">
        <f t="shared" si="2"/>
        <v>235415.51</v>
      </c>
    </row>
    <row r="210" ht="13.5" customHeight="1">
      <c r="A210" s="1" t="s">
        <v>316</v>
      </c>
      <c r="B210" s="1" t="s">
        <v>76</v>
      </c>
      <c r="C210" s="41" t="str">
        <f t="shared" si="1"/>
        <v>Большой</v>
      </c>
      <c r="D210" s="42">
        <f>VLOOKUP(A210,'Задание 2 (Известные данные)'!$A$2:$D$501,2,FALSE)</f>
        <v>3210987</v>
      </c>
      <c r="E210" s="43">
        <f>ROUND(D210*VLOOKUP(B210,'Задание 2 (Справочник)'!$B$8:$D$12,2,FALSE)/(1-VLOOKUP(B210,'Задание 2 (Справочник)'!$B$8:$D$12,3,FALSE)),0)</f>
        <v>3210987</v>
      </c>
      <c r="F210" s="43">
        <f>VLOOKUP(A210,'Задание 2 (Известные данные)'!$A$2:$D$501,3,FALSE)</f>
        <v>2247691</v>
      </c>
      <c r="G210" s="37">
        <f>F210*VLOOKUP(A210,'Задание 2 (Известные данные)'!$A$2:$D$501,4,FALSE)/1000</f>
        <v>301190.594</v>
      </c>
      <c r="H210" s="43">
        <f>ROUND(E210*VLOOKUP(C210,'Задание 2 (Справочник)'!$B$16:$C$18,2,FALSE),0)</f>
        <v>16055</v>
      </c>
      <c r="I210" s="43">
        <f t="shared" si="2"/>
        <v>150755.85</v>
      </c>
    </row>
    <row r="211" ht="13.5" customHeight="1">
      <c r="A211" s="1" t="s">
        <v>317</v>
      </c>
      <c r="B211" s="1" t="s">
        <v>76</v>
      </c>
      <c r="C211" s="41" t="str">
        <f t="shared" si="1"/>
        <v>Большой</v>
      </c>
      <c r="D211" s="42">
        <f>VLOOKUP(A211,'Задание 2 (Известные данные)'!$A$2:$D$501,2,FALSE)</f>
        <v>1876543</v>
      </c>
      <c r="E211" s="43">
        <f>ROUND(D211*VLOOKUP(B211,'Задание 2 (Справочник)'!$B$8:$D$12,2,FALSE)/(1-VLOOKUP(B211,'Задание 2 (Справочник)'!$B$8:$D$12,3,FALSE)),0)</f>
        <v>1876543</v>
      </c>
      <c r="F211" s="43">
        <f>VLOOKUP(A211,'Задание 2 (Известные данные)'!$A$2:$D$501,3,FALSE)</f>
        <v>1313580</v>
      </c>
      <c r="G211" s="37">
        <f>F211*VLOOKUP(A211,'Задание 2 (Известные данные)'!$A$2:$D$501,4,FALSE)/1000</f>
        <v>157629.6</v>
      </c>
      <c r="H211" s="43">
        <f>ROUND(E211*VLOOKUP(C211,'Задание 2 (Справочник)'!$B$16:$C$18,2,FALSE),0)</f>
        <v>9383</v>
      </c>
      <c r="I211" s="43">
        <f t="shared" si="2"/>
        <v>78908.63</v>
      </c>
    </row>
    <row r="212" ht="13.5" customHeight="1">
      <c r="A212" s="1" t="s">
        <v>318</v>
      </c>
      <c r="B212" s="1" t="s">
        <v>76</v>
      </c>
      <c r="C212" s="41" t="str">
        <f t="shared" si="1"/>
        <v>Большой</v>
      </c>
      <c r="D212" s="42">
        <f>VLOOKUP(A212,'Задание 2 (Известные данные)'!$A$2:$D$501,2,FALSE)</f>
        <v>4987612</v>
      </c>
      <c r="E212" s="43">
        <f>ROUND(D212*VLOOKUP(B212,'Задание 2 (Справочник)'!$B$8:$D$12,2,FALSE)/(1-VLOOKUP(B212,'Задание 2 (Справочник)'!$B$8:$D$12,3,FALSE)),0)</f>
        <v>4987612</v>
      </c>
      <c r="F212" s="43">
        <f>VLOOKUP(A212,'Задание 2 (Известные данные)'!$A$2:$D$501,3,FALSE)</f>
        <v>3491328</v>
      </c>
      <c r="G212" s="37">
        <f>F212*VLOOKUP(A212,'Задание 2 (Известные данные)'!$A$2:$D$501,4,FALSE)/1000</f>
        <v>499259.904</v>
      </c>
      <c r="H212" s="43">
        <f>ROUND(E212*VLOOKUP(C212,'Задание 2 (Справочник)'!$B$16:$C$18,2,FALSE),0)</f>
        <v>24938</v>
      </c>
      <c r="I212" s="43">
        <f t="shared" si="2"/>
        <v>249879.33</v>
      </c>
    </row>
    <row r="213" ht="13.5" customHeight="1">
      <c r="A213" s="1" t="s">
        <v>319</v>
      </c>
      <c r="B213" s="1" t="s">
        <v>76</v>
      </c>
      <c r="C213" s="41" t="str">
        <f t="shared" si="1"/>
        <v>Средний</v>
      </c>
      <c r="D213" s="42">
        <f>VLOOKUP(A213,'Задание 2 (Известные данные)'!$A$2:$D$501,2,FALSE)</f>
        <v>234567</v>
      </c>
      <c r="E213" s="43">
        <f>ROUND(D213*VLOOKUP(B213,'Задание 2 (Справочник)'!$B$8:$D$12,2,FALSE)/(1-VLOOKUP(B213,'Задание 2 (Справочник)'!$B$8:$D$12,3,FALSE)),0)</f>
        <v>234567</v>
      </c>
      <c r="F213" s="43">
        <f>VLOOKUP(A213,'Задание 2 (Известные данные)'!$A$2:$D$501,3,FALSE)</f>
        <v>164197</v>
      </c>
      <c r="G213" s="37">
        <f>F213*VLOOKUP(A213,'Задание 2 (Известные данные)'!$A$2:$D$501,4,FALSE)/1000</f>
        <v>17733.276</v>
      </c>
      <c r="H213" s="43">
        <f>ROUND(E213*VLOOKUP(C213,'Задание 2 (Справочник)'!$B$16:$C$18,2,FALSE),0)</f>
        <v>1759</v>
      </c>
      <c r="I213" s="43">
        <f t="shared" si="2"/>
        <v>8884.23</v>
      </c>
    </row>
    <row r="214" ht="13.5" customHeight="1">
      <c r="A214" s="1" t="s">
        <v>320</v>
      </c>
      <c r="B214" s="1" t="s">
        <v>76</v>
      </c>
      <c r="C214" s="41" t="str">
        <f t="shared" si="1"/>
        <v>Средний</v>
      </c>
      <c r="D214" s="42">
        <f>VLOOKUP(A214,'Задание 2 (Известные данные)'!$A$2:$D$501,2,FALSE)</f>
        <v>345678</v>
      </c>
      <c r="E214" s="43">
        <f>ROUND(D214*VLOOKUP(B214,'Задание 2 (Справочник)'!$B$8:$D$12,2,FALSE)/(1-VLOOKUP(B214,'Задание 2 (Справочник)'!$B$8:$D$12,3,FALSE)),0)</f>
        <v>345678</v>
      </c>
      <c r="F214" s="43">
        <f>VLOOKUP(A214,'Задание 2 (Известные данные)'!$A$2:$D$501,3,FALSE)</f>
        <v>241975</v>
      </c>
      <c r="G214" s="37">
        <f>F214*VLOOKUP(A214,'Задание 2 (Известные данные)'!$A$2:$D$501,4,FALSE)/1000</f>
        <v>29520.95</v>
      </c>
      <c r="H214" s="43">
        <f>ROUND(E214*VLOOKUP(C214,'Задание 2 (Справочник)'!$B$16:$C$18,2,FALSE),0)</f>
        <v>2593</v>
      </c>
      <c r="I214" s="43">
        <f t="shared" si="2"/>
        <v>14786.41</v>
      </c>
    </row>
    <row r="215" ht="13.5" customHeight="1">
      <c r="A215" s="1" t="s">
        <v>321</v>
      </c>
      <c r="B215" s="1" t="s">
        <v>76</v>
      </c>
      <c r="C215" s="41" t="str">
        <f t="shared" si="1"/>
        <v>Средний</v>
      </c>
      <c r="D215" s="42">
        <f>VLOOKUP(A215,'Задание 2 (Известные данные)'!$A$2:$D$501,2,FALSE)</f>
        <v>123456</v>
      </c>
      <c r="E215" s="43">
        <f>ROUND(D215*VLOOKUP(B215,'Задание 2 (Справочник)'!$B$8:$D$12,2,FALSE)/(1-VLOOKUP(B215,'Задание 2 (Справочник)'!$B$8:$D$12,3,FALSE)),0)</f>
        <v>123456</v>
      </c>
      <c r="F215" s="43">
        <f>VLOOKUP(A215,'Задание 2 (Известные данные)'!$A$2:$D$501,3,FALSE)</f>
        <v>86419</v>
      </c>
      <c r="G215" s="37">
        <f>F215*VLOOKUP(A215,'Задание 2 (Известные данные)'!$A$2:$D$501,4,FALSE)/1000</f>
        <v>8209.805</v>
      </c>
      <c r="H215" s="43">
        <f>ROUND(E215*VLOOKUP(C215,'Задание 2 (Справочник)'!$B$16:$C$18,2,FALSE),0)</f>
        <v>926</v>
      </c>
      <c r="I215" s="43">
        <f t="shared" si="2"/>
        <v>4114.16</v>
      </c>
    </row>
    <row r="216" ht="13.5" customHeight="1">
      <c r="A216" s="1" t="s">
        <v>322</v>
      </c>
      <c r="B216" s="1" t="s">
        <v>76</v>
      </c>
      <c r="C216" s="41" t="str">
        <f t="shared" si="1"/>
        <v>Средний</v>
      </c>
      <c r="D216" s="42">
        <f>VLOOKUP(A216,'Задание 2 (Известные данные)'!$A$2:$D$501,2,FALSE)</f>
        <v>456789</v>
      </c>
      <c r="E216" s="43">
        <f>ROUND(D216*VLOOKUP(B216,'Задание 2 (Справочник)'!$B$8:$D$12,2,FALSE)/(1-VLOOKUP(B216,'Задание 2 (Справочник)'!$B$8:$D$12,3,FALSE)),0)</f>
        <v>456789</v>
      </c>
      <c r="F216" s="43">
        <f>VLOOKUP(A216,'Задание 2 (Известные данные)'!$A$2:$D$501,3,FALSE)</f>
        <v>319752</v>
      </c>
      <c r="G216" s="37">
        <f>F216*VLOOKUP(A216,'Задание 2 (Известные данные)'!$A$2:$D$501,4,FALSE)/1000</f>
        <v>41887.512</v>
      </c>
      <c r="H216" s="43">
        <f>ROUND(E216*VLOOKUP(C216,'Задание 2 (Справочник)'!$B$16:$C$18,2,FALSE),0)</f>
        <v>3426</v>
      </c>
      <c r="I216" s="43">
        <f t="shared" si="2"/>
        <v>20978.02</v>
      </c>
    </row>
    <row r="217" ht="13.5" customHeight="1">
      <c r="A217" s="1" t="s">
        <v>323</v>
      </c>
      <c r="B217" s="1" t="s">
        <v>76</v>
      </c>
      <c r="C217" s="41" t="str">
        <f t="shared" si="1"/>
        <v>Средний</v>
      </c>
      <c r="D217" s="42">
        <f>VLOOKUP(A217,'Задание 2 (Известные данные)'!$A$2:$D$501,2,FALSE)</f>
        <v>198765</v>
      </c>
      <c r="E217" s="43">
        <f>ROUND(D217*VLOOKUP(B217,'Задание 2 (Справочник)'!$B$8:$D$12,2,FALSE)/(1-VLOOKUP(B217,'Задание 2 (Справочник)'!$B$8:$D$12,3,FALSE)),0)</f>
        <v>198765</v>
      </c>
      <c r="F217" s="43">
        <f>VLOOKUP(A217,'Задание 2 (Известные данные)'!$A$2:$D$501,3,FALSE)</f>
        <v>139136</v>
      </c>
      <c r="G217" s="37">
        <f>F217*VLOOKUP(A217,'Задание 2 (Известные данные)'!$A$2:$D$501,4,FALSE)/1000</f>
        <v>14470.144</v>
      </c>
      <c r="H217" s="43">
        <f>ROUND(E217*VLOOKUP(C217,'Задание 2 (Справочник)'!$B$16:$C$18,2,FALSE),0)</f>
        <v>1491</v>
      </c>
      <c r="I217" s="43">
        <f t="shared" si="2"/>
        <v>7249.98</v>
      </c>
    </row>
    <row r="218" ht="13.5" customHeight="1">
      <c r="A218" s="1" t="s">
        <v>324</v>
      </c>
      <c r="B218" s="1" t="s">
        <v>76</v>
      </c>
      <c r="C218" s="41" t="str">
        <f t="shared" si="1"/>
        <v>Средний</v>
      </c>
      <c r="D218" s="42">
        <f>VLOOKUP(A218,'Задание 2 (Известные данные)'!$A$2:$D$501,2,FALSE)</f>
        <v>287654</v>
      </c>
      <c r="E218" s="43">
        <f>ROUND(D218*VLOOKUP(B218,'Задание 2 (Справочник)'!$B$8:$D$12,2,FALSE)/(1-VLOOKUP(B218,'Задание 2 (Справочник)'!$B$8:$D$12,3,FALSE)),0)</f>
        <v>287654</v>
      </c>
      <c r="F218" s="43">
        <f>VLOOKUP(A218,'Задание 2 (Известные данные)'!$A$2:$D$501,3,FALSE)</f>
        <v>201358</v>
      </c>
      <c r="G218" s="37">
        <f>F218*VLOOKUP(A218,'Задание 2 (Известные данные)'!$A$2:$D$501,4,FALSE)/1000</f>
        <v>23558.886</v>
      </c>
      <c r="H218" s="43">
        <f>ROUND(E218*VLOOKUP(C218,'Задание 2 (Справочник)'!$B$16:$C$18,2,FALSE),0)</f>
        <v>2157</v>
      </c>
      <c r="I218" s="43">
        <f t="shared" si="2"/>
        <v>11801.01</v>
      </c>
    </row>
    <row r="219" ht="13.5" customHeight="1">
      <c r="A219" s="1" t="s">
        <v>325</v>
      </c>
      <c r="B219" s="1" t="s">
        <v>76</v>
      </c>
      <c r="C219" s="41" t="str">
        <f t="shared" si="1"/>
        <v>Средний</v>
      </c>
      <c r="D219" s="42">
        <f>VLOOKUP(A219,'Задание 2 (Известные данные)'!$A$2:$D$501,2,FALSE)</f>
        <v>165432</v>
      </c>
      <c r="E219" s="43">
        <f>ROUND(D219*VLOOKUP(B219,'Задание 2 (Справочник)'!$B$8:$D$12,2,FALSE)/(1-VLOOKUP(B219,'Задание 2 (Справочник)'!$B$8:$D$12,3,FALSE)),0)</f>
        <v>165432</v>
      </c>
      <c r="F219" s="43">
        <f>VLOOKUP(A219,'Задание 2 (Известные данные)'!$A$2:$D$501,3,FALSE)</f>
        <v>115802</v>
      </c>
      <c r="G219" s="37">
        <f>F219*VLOOKUP(A219,'Задание 2 (Известные данные)'!$A$2:$D$501,4,FALSE)/1000</f>
        <v>11696.002</v>
      </c>
      <c r="H219" s="43">
        <f>ROUND(E219*VLOOKUP(C219,'Задание 2 (Справочник)'!$B$16:$C$18,2,FALSE),0)</f>
        <v>1241</v>
      </c>
      <c r="I219" s="43">
        <f t="shared" si="2"/>
        <v>5860.41</v>
      </c>
    </row>
    <row r="220" ht="13.5" customHeight="1">
      <c r="A220" s="1" t="s">
        <v>326</v>
      </c>
      <c r="B220" s="1" t="s">
        <v>76</v>
      </c>
      <c r="C220" s="41" t="str">
        <f t="shared" si="1"/>
        <v>Средний</v>
      </c>
      <c r="D220" s="42">
        <f>VLOOKUP(A220,'Задание 2 (Известные данные)'!$A$2:$D$501,2,FALSE)</f>
        <v>398761</v>
      </c>
      <c r="E220" s="43">
        <f>ROUND(D220*VLOOKUP(B220,'Задание 2 (Справочник)'!$B$8:$D$12,2,FALSE)/(1-VLOOKUP(B220,'Задание 2 (Справочник)'!$B$8:$D$12,3,FALSE)),0)</f>
        <v>398761</v>
      </c>
      <c r="F220" s="43">
        <f>VLOOKUP(A220,'Задание 2 (Известные данные)'!$A$2:$D$501,3,FALSE)</f>
        <v>279133</v>
      </c>
      <c r="G220" s="37">
        <f>F220*VLOOKUP(A220,'Задание 2 (Известные данные)'!$A$2:$D$501,4,FALSE)/1000</f>
        <v>34891.625</v>
      </c>
      <c r="H220" s="43">
        <f>ROUND(E220*VLOOKUP(C220,'Задание 2 (Справочник)'!$B$16:$C$18,2,FALSE),0)</f>
        <v>2991</v>
      </c>
      <c r="I220" s="43">
        <f t="shared" si="2"/>
        <v>17475.72</v>
      </c>
    </row>
    <row r="221" ht="13.5" customHeight="1">
      <c r="A221" s="1" t="s">
        <v>327</v>
      </c>
      <c r="B221" s="1" t="s">
        <v>76</v>
      </c>
      <c r="C221" s="41" t="str">
        <f t="shared" si="1"/>
        <v>Средний</v>
      </c>
      <c r="D221" s="42">
        <f>VLOOKUP(A221,'Задание 2 (Известные данные)'!$A$2:$D$501,2,FALSE)</f>
        <v>210987</v>
      </c>
      <c r="E221" s="43">
        <f>ROUND(D221*VLOOKUP(B221,'Задание 2 (Справочник)'!$B$8:$D$12,2,FALSE)/(1-VLOOKUP(B221,'Задание 2 (Справочник)'!$B$8:$D$12,3,FALSE)),0)</f>
        <v>210987</v>
      </c>
      <c r="F221" s="43">
        <f>VLOOKUP(A221,'Задание 2 (Известные данные)'!$A$2:$D$501,3,FALSE)</f>
        <v>147691</v>
      </c>
      <c r="G221" s="37">
        <f>F221*VLOOKUP(A221,'Задание 2 (Известные данные)'!$A$2:$D$501,4,FALSE)/1000</f>
        <v>16098.319</v>
      </c>
      <c r="H221" s="43">
        <f>ROUND(E221*VLOOKUP(C221,'Задание 2 (Справочник)'!$B$16:$C$18,2,FALSE),0)</f>
        <v>1582</v>
      </c>
      <c r="I221" s="43">
        <f t="shared" si="2"/>
        <v>8064.98</v>
      </c>
    </row>
    <row r="222" ht="13.5" customHeight="1">
      <c r="A222" s="1" t="s">
        <v>328</v>
      </c>
      <c r="B222" s="1" t="s">
        <v>76</v>
      </c>
      <c r="C222" s="41" t="str">
        <f t="shared" si="1"/>
        <v>Средний</v>
      </c>
      <c r="D222" s="42">
        <f>VLOOKUP(A222,'Задание 2 (Известные данные)'!$A$2:$D$501,2,FALSE)</f>
        <v>321098</v>
      </c>
      <c r="E222" s="43">
        <f>ROUND(D222*VLOOKUP(B222,'Задание 2 (Справочник)'!$B$8:$D$12,2,FALSE)/(1-VLOOKUP(B222,'Задание 2 (Справочник)'!$B$8:$D$12,3,FALSE)),0)</f>
        <v>321098</v>
      </c>
      <c r="F222" s="43">
        <f>VLOOKUP(A222,'Задание 2 (Известные данные)'!$A$2:$D$501,3,FALSE)</f>
        <v>224769</v>
      </c>
      <c r="G222" s="37">
        <f>F222*VLOOKUP(A222,'Задание 2 (Известные данные)'!$A$2:$D$501,4,FALSE)/1000</f>
        <v>26747.511</v>
      </c>
      <c r="H222" s="43">
        <f>ROUND(E222*VLOOKUP(C222,'Задание 2 (Справочник)'!$B$16:$C$18,2,FALSE),0)</f>
        <v>2408</v>
      </c>
      <c r="I222" s="43">
        <f t="shared" si="2"/>
        <v>13397.84</v>
      </c>
    </row>
    <row r="223" ht="13.5" customHeight="1">
      <c r="A223" s="1" t="s">
        <v>329</v>
      </c>
      <c r="B223" s="1" t="s">
        <v>76</v>
      </c>
      <c r="C223" s="41" t="str">
        <f t="shared" si="1"/>
        <v>Средний</v>
      </c>
      <c r="D223" s="42">
        <f>VLOOKUP(A223,'Задание 2 (Известные данные)'!$A$2:$D$501,2,FALSE)</f>
        <v>143210</v>
      </c>
      <c r="E223" s="43">
        <f>ROUND(D223*VLOOKUP(B223,'Задание 2 (Справочник)'!$B$8:$D$12,2,FALSE)/(1-VLOOKUP(B223,'Задание 2 (Справочник)'!$B$8:$D$12,3,FALSE)),0)</f>
        <v>143210</v>
      </c>
      <c r="F223" s="43">
        <f>VLOOKUP(A223,'Задание 2 (Известные данные)'!$A$2:$D$501,3,FALSE)</f>
        <v>100247</v>
      </c>
      <c r="G223" s="37">
        <f>F223*VLOOKUP(A223,'Задание 2 (Известные данные)'!$A$2:$D$501,4,FALSE)/1000</f>
        <v>9623.712</v>
      </c>
      <c r="H223" s="43">
        <f>ROUND(E223*VLOOKUP(C223,'Задание 2 (Справочник)'!$B$16:$C$18,2,FALSE),0)</f>
        <v>1074</v>
      </c>
      <c r="I223" s="43">
        <f t="shared" si="2"/>
        <v>4822.6</v>
      </c>
    </row>
    <row r="224" ht="13.5" customHeight="1">
      <c r="A224" s="1" t="s">
        <v>330</v>
      </c>
      <c r="B224" s="1" t="s">
        <v>76</v>
      </c>
      <c r="C224" s="41" t="str">
        <f t="shared" si="1"/>
        <v>Средний</v>
      </c>
      <c r="D224" s="42">
        <f>VLOOKUP(A224,'Задание 2 (Известные данные)'!$A$2:$D$501,2,FALSE)</f>
        <v>254321</v>
      </c>
      <c r="E224" s="43">
        <f>ROUND(D224*VLOOKUP(B224,'Задание 2 (Справочник)'!$B$8:$D$12,2,FALSE)/(1-VLOOKUP(B224,'Задание 2 (Справочник)'!$B$8:$D$12,3,FALSE)),0)</f>
        <v>254321</v>
      </c>
      <c r="F224" s="43">
        <f>VLOOKUP(A224,'Задание 2 (Известные данные)'!$A$2:$D$501,3,FALSE)</f>
        <v>178025</v>
      </c>
      <c r="G224" s="37">
        <f>F224*VLOOKUP(A224,'Задание 2 (Известные данные)'!$A$2:$D$501,4,FALSE)/1000</f>
        <v>19938.8</v>
      </c>
      <c r="H224" s="43">
        <f>ROUND(E224*VLOOKUP(C224,'Задание 2 (Справочник)'!$B$16:$C$18,2,FALSE),0)</f>
        <v>1907</v>
      </c>
      <c r="I224" s="43">
        <f t="shared" si="2"/>
        <v>9988.47</v>
      </c>
    </row>
    <row r="225" ht="13.5" customHeight="1">
      <c r="A225" s="1" t="s">
        <v>331</v>
      </c>
      <c r="B225" s="1" t="s">
        <v>76</v>
      </c>
      <c r="C225" s="41" t="str">
        <f t="shared" si="1"/>
        <v>Средний</v>
      </c>
      <c r="D225" s="42">
        <f>VLOOKUP(A225,'Задание 2 (Известные данные)'!$A$2:$D$501,2,FALSE)</f>
        <v>367890</v>
      </c>
      <c r="E225" s="43">
        <f>ROUND(D225*VLOOKUP(B225,'Задание 2 (Справочник)'!$B$8:$D$12,2,FALSE)/(1-VLOOKUP(B225,'Задание 2 (Справочник)'!$B$8:$D$12,3,FALSE)),0)</f>
        <v>367890</v>
      </c>
      <c r="F225" s="43">
        <f>VLOOKUP(A225,'Задание 2 (Известные данные)'!$A$2:$D$501,3,FALSE)</f>
        <v>257523</v>
      </c>
      <c r="G225" s="37">
        <f>F225*VLOOKUP(A225,'Задание 2 (Известные данные)'!$A$2:$D$501,4,FALSE)/1000</f>
        <v>32705.421</v>
      </c>
      <c r="H225" s="43">
        <f>ROUND(E225*VLOOKUP(C225,'Задание 2 (Справочник)'!$B$16:$C$18,2,FALSE),0)</f>
        <v>2759</v>
      </c>
      <c r="I225" s="43">
        <f t="shared" si="2"/>
        <v>16380.3</v>
      </c>
    </row>
    <row r="226" ht="13.5" customHeight="1">
      <c r="A226" s="1" t="s">
        <v>332</v>
      </c>
      <c r="B226" s="1" t="s">
        <v>76</v>
      </c>
      <c r="C226" s="41" t="str">
        <f t="shared" si="1"/>
        <v>Средний</v>
      </c>
      <c r="D226" s="42">
        <f>VLOOKUP(A226,'Задание 2 (Известные данные)'!$A$2:$D$501,2,FALSE)</f>
        <v>176543</v>
      </c>
      <c r="E226" s="43">
        <f>ROUND(D226*VLOOKUP(B226,'Задание 2 (Справочник)'!$B$8:$D$12,2,FALSE)/(1-VLOOKUP(B226,'Задание 2 (Справочник)'!$B$8:$D$12,3,FALSE)),0)</f>
        <v>176543</v>
      </c>
      <c r="F226" s="43">
        <f>VLOOKUP(A226,'Задание 2 (Известные данные)'!$A$2:$D$501,3,FALSE)</f>
        <v>123580</v>
      </c>
      <c r="G226" s="37">
        <f>F226*VLOOKUP(A226,'Задание 2 (Известные данные)'!$A$2:$D$501,4,FALSE)/1000</f>
        <v>12728.74</v>
      </c>
      <c r="H226" s="43">
        <f>ROUND(E226*VLOOKUP(C226,'Задание 2 (Справочник)'!$B$16:$C$18,2,FALSE),0)</f>
        <v>1324</v>
      </c>
      <c r="I226" s="43">
        <f t="shared" si="2"/>
        <v>6377.61</v>
      </c>
    </row>
    <row r="227" ht="13.5" customHeight="1">
      <c r="A227" s="1" t="s">
        <v>333</v>
      </c>
      <c r="B227" s="1" t="s">
        <v>76</v>
      </c>
      <c r="C227" s="41" t="str">
        <f t="shared" si="1"/>
        <v>Средний</v>
      </c>
      <c r="D227" s="42">
        <f>VLOOKUP(A227,'Задание 2 (Известные данные)'!$A$2:$D$501,2,FALSE)</f>
        <v>289765</v>
      </c>
      <c r="E227" s="43">
        <f>ROUND(D227*VLOOKUP(B227,'Задание 2 (Справочник)'!$B$8:$D$12,2,FALSE)/(1-VLOOKUP(B227,'Задание 2 (Справочник)'!$B$8:$D$12,3,FALSE)),0)</f>
        <v>289765</v>
      </c>
      <c r="F227" s="43">
        <f>VLOOKUP(A227,'Задание 2 (Известные данные)'!$A$2:$D$501,3,FALSE)</f>
        <v>202836</v>
      </c>
      <c r="G227" s="37">
        <f>F227*VLOOKUP(A227,'Задание 2 (Известные данные)'!$A$2:$D$501,4,FALSE)/1000</f>
        <v>23326.14</v>
      </c>
      <c r="H227" s="43">
        <f>ROUND(E227*VLOOKUP(C227,'Задание 2 (Справочник)'!$B$16:$C$18,2,FALSE),0)</f>
        <v>2173</v>
      </c>
      <c r="I227" s="43">
        <f t="shared" si="2"/>
        <v>11684.8</v>
      </c>
    </row>
    <row r="228" ht="13.5" customHeight="1">
      <c r="A228" s="1" t="s">
        <v>334</v>
      </c>
      <c r="B228" s="1" t="s">
        <v>76</v>
      </c>
      <c r="C228" s="41" t="str">
        <f t="shared" si="1"/>
        <v>Средний</v>
      </c>
      <c r="D228" s="42">
        <f>VLOOKUP(A228,'Задание 2 (Известные данные)'!$A$2:$D$501,2,FALSE)</f>
        <v>198543</v>
      </c>
      <c r="E228" s="43">
        <f>ROUND(D228*VLOOKUP(B228,'Задание 2 (Справочник)'!$B$8:$D$12,2,FALSE)/(1-VLOOKUP(B228,'Задание 2 (Справочник)'!$B$8:$D$12,3,FALSE)),0)</f>
        <v>198543</v>
      </c>
      <c r="F228" s="43">
        <f>VLOOKUP(A228,'Задание 2 (Известные данные)'!$A$2:$D$501,3,FALSE)</f>
        <v>138980</v>
      </c>
      <c r="G228" s="37">
        <f>F228*VLOOKUP(A228,'Задание 2 (Известные данные)'!$A$2:$D$501,4,FALSE)/1000</f>
        <v>14870.86</v>
      </c>
      <c r="H228" s="43">
        <f>ROUND(E228*VLOOKUP(C228,'Задание 2 (Справочник)'!$B$16:$C$18,2,FALSE),0)</f>
        <v>1489</v>
      </c>
      <c r="I228" s="43">
        <f t="shared" si="2"/>
        <v>7450.32</v>
      </c>
    </row>
    <row r="229" ht="13.5" customHeight="1">
      <c r="A229" s="1" t="s">
        <v>335</v>
      </c>
      <c r="B229" s="1" t="s">
        <v>76</v>
      </c>
      <c r="C229" s="41" t="str">
        <f t="shared" si="1"/>
        <v>Средний</v>
      </c>
      <c r="D229" s="42">
        <f>VLOOKUP(A229,'Задание 2 (Известные данные)'!$A$2:$D$501,2,FALSE)</f>
        <v>312987</v>
      </c>
      <c r="E229" s="43">
        <f>ROUND(D229*VLOOKUP(B229,'Задание 2 (Справочник)'!$B$8:$D$12,2,FALSE)/(1-VLOOKUP(B229,'Задание 2 (Справочник)'!$B$8:$D$12,3,FALSE)),0)</f>
        <v>312987</v>
      </c>
      <c r="F229" s="43">
        <f>VLOOKUP(A229,'Задание 2 (Известные данные)'!$A$2:$D$501,3,FALSE)</f>
        <v>219091</v>
      </c>
      <c r="G229" s="37">
        <f>F229*VLOOKUP(A229,'Задание 2 (Известные данные)'!$A$2:$D$501,4,FALSE)/1000</f>
        <v>26510.011</v>
      </c>
      <c r="H229" s="43">
        <f>ROUND(E229*VLOOKUP(C229,'Задание 2 (Справочник)'!$B$16:$C$18,2,FALSE),0)</f>
        <v>2347</v>
      </c>
      <c r="I229" s="43">
        <f t="shared" si="2"/>
        <v>13278.48</v>
      </c>
    </row>
    <row r="230" ht="13.5" customHeight="1">
      <c r="A230" s="1" t="s">
        <v>336</v>
      </c>
      <c r="B230" s="1" t="s">
        <v>76</v>
      </c>
      <c r="C230" s="41" t="str">
        <f t="shared" si="1"/>
        <v>Средний</v>
      </c>
      <c r="D230" s="42">
        <f>VLOOKUP(A230,'Задание 2 (Известные данные)'!$A$2:$D$501,2,FALSE)</f>
        <v>134567</v>
      </c>
      <c r="E230" s="43">
        <f>ROUND(D230*VLOOKUP(B230,'Задание 2 (Справочник)'!$B$8:$D$12,2,FALSE)/(1-VLOOKUP(B230,'Задание 2 (Справочник)'!$B$8:$D$12,3,FALSE)),0)</f>
        <v>134567</v>
      </c>
      <c r="F230" s="43">
        <f>VLOOKUP(A230,'Задание 2 (Известные данные)'!$A$2:$D$501,3,FALSE)</f>
        <v>94197</v>
      </c>
      <c r="G230" s="37">
        <f>F230*VLOOKUP(A230,'Задание 2 (Известные данные)'!$A$2:$D$501,4,FALSE)/1000</f>
        <v>8854.518</v>
      </c>
      <c r="H230" s="43">
        <f>ROUND(E230*VLOOKUP(C230,'Задание 2 (Справочник)'!$B$16:$C$18,2,FALSE),0)</f>
        <v>1009</v>
      </c>
      <c r="I230" s="43">
        <f t="shared" si="2"/>
        <v>4437.35</v>
      </c>
    </row>
    <row r="231" ht="13.5" customHeight="1">
      <c r="A231" s="1" t="s">
        <v>337</v>
      </c>
      <c r="B231" s="1" t="s">
        <v>76</v>
      </c>
      <c r="C231" s="41" t="str">
        <f t="shared" si="1"/>
        <v>Средний</v>
      </c>
      <c r="D231" s="42">
        <f>VLOOKUP(A231,'Задание 2 (Известные данные)'!$A$2:$D$501,2,FALSE)</f>
        <v>276543</v>
      </c>
      <c r="E231" s="43">
        <f>ROUND(D231*VLOOKUP(B231,'Задание 2 (Справочник)'!$B$8:$D$12,2,FALSE)/(1-VLOOKUP(B231,'Задание 2 (Справочник)'!$B$8:$D$12,3,FALSE)),0)</f>
        <v>276543</v>
      </c>
      <c r="F231" s="43">
        <f>VLOOKUP(A231,'Задание 2 (Известные данные)'!$A$2:$D$501,3,FALSE)</f>
        <v>193580</v>
      </c>
      <c r="G231" s="37">
        <f>F231*VLOOKUP(A231,'Задание 2 (Известные данные)'!$A$2:$D$501,4,FALSE)/1000</f>
        <v>21487.38</v>
      </c>
      <c r="H231" s="43">
        <f>ROUND(E231*VLOOKUP(C231,'Задание 2 (Справочник)'!$B$16:$C$18,2,FALSE),0)</f>
        <v>2074</v>
      </c>
      <c r="I231" s="43">
        <f t="shared" si="2"/>
        <v>10764.43</v>
      </c>
    </row>
    <row r="232" ht="13.5" customHeight="1">
      <c r="A232" s="1" t="s">
        <v>338</v>
      </c>
      <c r="B232" s="1" t="s">
        <v>76</v>
      </c>
      <c r="C232" s="41" t="str">
        <f t="shared" si="1"/>
        <v>Средний</v>
      </c>
      <c r="D232" s="42">
        <f>VLOOKUP(A232,'Задание 2 (Известные данные)'!$A$2:$D$501,2,FALSE)</f>
        <v>154321</v>
      </c>
      <c r="E232" s="43">
        <f>ROUND(D232*VLOOKUP(B232,'Задание 2 (Справочник)'!$B$8:$D$12,2,FALSE)/(1-VLOOKUP(B232,'Задание 2 (Справочник)'!$B$8:$D$12,3,FALSE)),0)</f>
        <v>154321</v>
      </c>
      <c r="F232" s="43">
        <f>VLOOKUP(A232,'Задание 2 (Известные данные)'!$A$2:$D$501,3,FALSE)</f>
        <v>108025</v>
      </c>
      <c r="G232" s="37">
        <f>F232*VLOOKUP(A232,'Задание 2 (Известные данные)'!$A$2:$D$501,4,FALSE)/1000</f>
        <v>10694.475</v>
      </c>
      <c r="H232" s="43">
        <f>ROUND(E232*VLOOKUP(C232,'Задание 2 (Справочник)'!$B$16:$C$18,2,FALSE),0)</f>
        <v>1157</v>
      </c>
      <c r="I232" s="43">
        <f t="shared" si="2"/>
        <v>5358.81</v>
      </c>
    </row>
    <row r="233" ht="13.5" customHeight="1">
      <c r="A233" s="1" t="s">
        <v>339</v>
      </c>
      <c r="B233" s="1" t="s">
        <v>76</v>
      </c>
      <c r="C233" s="41" t="str">
        <f t="shared" si="1"/>
        <v>Средний</v>
      </c>
      <c r="D233" s="42">
        <f>VLOOKUP(A233,'Задание 2 (Известные данные)'!$A$2:$D$501,2,FALSE)</f>
        <v>298761</v>
      </c>
      <c r="E233" s="43">
        <f>ROUND(D233*VLOOKUP(B233,'Задание 2 (Справочник)'!$B$8:$D$12,2,FALSE)/(1-VLOOKUP(B233,'Задание 2 (Справочник)'!$B$8:$D$12,3,FALSE)),0)</f>
        <v>298761</v>
      </c>
      <c r="F233" s="43">
        <f>VLOOKUP(A233,'Задание 2 (Известные данные)'!$A$2:$D$501,3,FALSE)</f>
        <v>209133</v>
      </c>
      <c r="G233" s="37">
        <f>F233*VLOOKUP(A233,'Задание 2 (Известные данные)'!$A$2:$D$501,4,FALSE)/1000</f>
        <v>24677.694</v>
      </c>
      <c r="H233" s="43">
        <f>ROUND(E233*VLOOKUP(C233,'Задание 2 (Справочник)'!$B$16:$C$18,2,FALSE),0)</f>
        <v>2241</v>
      </c>
      <c r="I233" s="43">
        <f t="shared" si="2"/>
        <v>12361.26</v>
      </c>
    </row>
    <row r="234" ht="13.5" customHeight="1">
      <c r="A234" s="1" t="s">
        <v>340</v>
      </c>
      <c r="B234" s="1" t="s">
        <v>76</v>
      </c>
      <c r="C234" s="41" t="str">
        <f t="shared" si="1"/>
        <v>Средний</v>
      </c>
      <c r="D234" s="42">
        <f>VLOOKUP(A234,'Задание 2 (Известные данные)'!$A$2:$D$501,2,FALSE)</f>
        <v>187654</v>
      </c>
      <c r="E234" s="43">
        <f>ROUND(D234*VLOOKUP(B234,'Задание 2 (Справочник)'!$B$8:$D$12,2,FALSE)/(1-VLOOKUP(B234,'Задание 2 (Справочник)'!$B$8:$D$12,3,FALSE)),0)</f>
        <v>187654</v>
      </c>
      <c r="F234" s="43">
        <f>VLOOKUP(A234,'Задание 2 (Известные данные)'!$A$2:$D$501,3,FALSE)</f>
        <v>131358</v>
      </c>
      <c r="G234" s="37">
        <f>F234*VLOOKUP(A234,'Задание 2 (Известные данные)'!$A$2:$D$501,4,FALSE)/1000</f>
        <v>13792.59</v>
      </c>
      <c r="H234" s="43">
        <f>ROUND(E234*VLOOKUP(C234,'Задание 2 (Справочник)'!$B$16:$C$18,2,FALSE),0)</f>
        <v>1407</v>
      </c>
      <c r="I234" s="43">
        <f t="shared" si="2"/>
        <v>6910.37</v>
      </c>
    </row>
    <row r="235" ht="13.5" customHeight="1">
      <c r="A235" s="1" t="s">
        <v>341</v>
      </c>
      <c r="B235" s="1" t="s">
        <v>76</v>
      </c>
      <c r="C235" s="41" t="str">
        <f t="shared" si="1"/>
        <v>Средний</v>
      </c>
      <c r="D235" s="42">
        <f>VLOOKUP(A235,'Задание 2 (Известные данные)'!$A$2:$D$501,2,FALSE)</f>
        <v>345210</v>
      </c>
      <c r="E235" s="43">
        <f>ROUND(D235*VLOOKUP(B235,'Задание 2 (Справочник)'!$B$8:$D$12,2,FALSE)/(1-VLOOKUP(B235,'Задание 2 (Справочник)'!$B$8:$D$12,3,FALSE)),0)</f>
        <v>345210</v>
      </c>
      <c r="F235" s="43">
        <f>VLOOKUP(A235,'Задание 2 (Известные данные)'!$A$2:$D$501,3,FALSE)</f>
        <v>241647</v>
      </c>
      <c r="G235" s="37">
        <f>F235*VLOOKUP(A235,'Задание 2 (Известные данные)'!$A$2:$D$501,4,FALSE)/1000</f>
        <v>29722.581</v>
      </c>
      <c r="H235" s="43">
        <f>ROUND(E235*VLOOKUP(C235,'Задание 2 (Справочник)'!$B$16:$C$18,2,FALSE),0)</f>
        <v>2589</v>
      </c>
      <c r="I235" s="43">
        <f t="shared" si="2"/>
        <v>14887.18</v>
      </c>
    </row>
    <row r="236" ht="13.5" customHeight="1">
      <c r="A236" s="1" t="s">
        <v>342</v>
      </c>
      <c r="B236" s="1" t="s">
        <v>76</v>
      </c>
      <c r="C236" s="41" t="str">
        <f t="shared" si="1"/>
        <v>Средний</v>
      </c>
      <c r="D236" s="42">
        <f>VLOOKUP(A236,'Задание 2 (Известные данные)'!$A$2:$D$501,2,FALSE)</f>
        <v>165432</v>
      </c>
      <c r="E236" s="43">
        <f>ROUND(D236*VLOOKUP(B236,'Задание 2 (Справочник)'!$B$8:$D$12,2,FALSE)/(1-VLOOKUP(B236,'Задание 2 (Справочник)'!$B$8:$D$12,3,FALSE)),0)</f>
        <v>165432</v>
      </c>
      <c r="F236" s="43">
        <f>VLOOKUP(A236,'Задание 2 (Известные данные)'!$A$2:$D$501,3,FALSE)</f>
        <v>115802</v>
      </c>
      <c r="G236" s="37">
        <f>F236*VLOOKUP(A236,'Задание 2 (Известные данные)'!$A$2:$D$501,4,FALSE)/1000</f>
        <v>11811.804</v>
      </c>
      <c r="H236" s="43">
        <f>ROUND(E236*VLOOKUP(C236,'Задание 2 (Справочник)'!$B$16:$C$18,2,FALSE),0)</f>
        <v>1241</v>
      </c>
      <c r="I236" s="43">
        <f t="shared" si="2"/>
        <v>5918.31</v>
      </c>
    </row>
    <row r="237" ht="13.5" customHeight="1">
      <c r="A237" s="1" t="s">
        <v>343</v>
      </c>
      <c r="B237" s="1" t="s">
        <v>76</v>
      </c>
      <c r="C237" s="41" t="str">
        <f t="shared" si="1"/>
        <v>Средний</v>
      </c>
      <c r="D237" s="42">
        <f>VLOOKUP(A237,'Задание 2 (Известные данные)'!$A$2:$D$501,2,FALSE)</f>
        <v>278901</v>
      </c>
      <c r="E237" s="43">
        <f>ROUND(D237*VLOOKUP(B237,'Задание 2 (Справочник)'!$B$8:$D$12,2,FALSE)/(1-VLOOKUP(B237,'Задание 2 (Справочник)'!$B$8:$D$12,3,FALSE)),0)</f>
        <v>278901</v>
      </c>
      <c r="F237" s="43">
        <f>VLOOKUP(A237,'Задание 2 (Известные данные)'!$A$2:$D$501,3,FALSE)</f>
        <v>195231</v>
      </c>
      <c r="G237" s="37">
        <f>F237*VLOOKUP(A237,'Задание 2 (Известные данные)'!$A$2:$D$501,4,FALSE)/1000</f>
        <v>22256.334</v>
      </c>
      <c r="H237" s="43">
        <f>ROUND(E237*VLOOKUP(C237,'Задание 2 (Справочник)'!$B$16:$C$18,2,FALSE),0)</f>
        <v>2092</v>
      </c>
      <c r="I237" s="43">
        <f t="shared" si="2"/>
        <v>11149.09</v>
      </c>
    </row>
    <row r="238" ht="13.5" customHeight="1">
      <c r="A238" s="1" t="s">
        <v>344</v>
      </c>
      <c r="B238" s="1" t="s">
        <v>76</v>
      </c>
      <c r="C238" s="41" t="str">
        <f t="shared" si="1"/>
        <v>Средний</v>
      </c>
      <c r="D238" s="42">
        <f>VLOOKUP(A238,'Задание 2 (Известные данные)'!$A$2:$D$501,2,FALSE)</f>
        <v>199876</v>
      </c>
      <c r="E238" s="43">
        <f>ROUND(D238*VLOOKUP(B238,'Задание 2 (Справочник)'!$B$8:$D$12,2,FALSE)/(1-VLOOKUP(B238,'Задание 2 (Справочник)'!$B$8:$D$12,3,FALSE)),0)</f>
        <v>199876</v>
      </c>
      <c r="F238" s="43">
        <f>VLOOKUP(A238,'Задание 2 (Известные данные)'!$A$2:$D$501,3,FALSE)</f>
        <v>139913</v>
      </c>
      <c r="G238" s="37">
        <f>F238*VLOOKUP(A238,'Задание 2 (Известные данные)'!$A$2:$D$501,4,FALSE)/1000</f>
        <v>14830.778</v>
      </c>
      <c r="H238" s="43">
        <f>ROUND(E238*VLOOKUP(C238,'Задание 2 (Справочник)'!$B$16:$C$18,2,FALSE),0)</f>
        <v>1499</v>
      </c>
      <c r="I238" s="43">
        <f t="shared" si="2"/>
        <v>7430.38</v>
      </c>
    </row>
    <row r="239" ht="13.5" customHeight="1">
      <c r="A239" s="1" t="s">
        <v>345</v>
      </c>
      <c r="B239" s="1" t="s">
        <v>76</v>
      </c>
      <c r="C239" s="41" t="str">
        <f t="shared" si="1"/>
        <v>Средний</v>
      </c>
      <c r="D239" s="42">
        <f>VLOOKUP(A239,'Задание 2 (Известные данные)'!$A$2:$D$501,2,FALSE)</f>
        <v>312345</v>
      </c>
      <c r="E239" s="43">
        <f>ROUND(D239*VLOOKUP(B239,'Задание 2 (Справочник)'!$B$8:$D$12,2,FALSE)/(1-VLOOKUP(B239,'Задание 2 (Справочник)'!$B$8:$D$12,3,FALSE)),0)</f>
        <v>312345</v>
      </c>
      <c r="F239" s="43">
        <f>VLOOKUP(A239,'Задание 2 (Известные данные)'!$A$2:$D$501,3,FALSE)</f>
        <v>218642</v>
      </c>
      <c r="G239" s="37">
        <f>F239*VLOOKUP(A239,'Задание 2 (Известные данные)'!$A$2:$D$501,4,FALSE)/1000</f>
        <v>26237.04</v>
      </c>
      <c r="H239" s="43">
        <f>ROUND(E239*VLOOKUP(C239,'Задание 2 (Справочник)'!$B$16:$C$18,2,FALSE),0)</f>
        <v>2343</v>
      </c>
      <c r="I239" s="43">
        <f t="shared" si="2"/>
        <v>13141.95</v>
      </c>
    </row>
    <row r="240" ht="13.5" customHeight="1">
      <c r="A240" s="1" t="s">
        <v>346</v>
      </c>
      <c r="B240" s="1" t="s">
        <v>76</v>
      </c>
      <c r="C240" s="41" t="str">
        <f t="shared" si="1"/>
        <v>Средний</v>
      </c>
      <c r="D240" s="42">
        <f>VLOOKUP(A240,'Задание 2 (Известные данные)'!$A$2:$D$501,2,FALSE)</f>
        <v>134567</v>
      </c>
      <c r="E240" s="43">
        <f>ROUND(D240*VLOOKUP(B240,'Задание 2 (Справочник)'!$B$8:$D$12,2,FALSE)/(1-VLOOKUP(B240,'Задание 2 (Справочник)'!$B$8:$D$12,3,FALSE)),0)</f>
        <v>134567</v>
      </c>
      <c r="F240" s="43">
        <f>VLOOKUP(A240,'Задание 2 (Известные данные)'!$A$2:$D$501,3,FALSE)</f>
        <v>94197</v>
      </c>
      <c r="G240" s="37">
        <f>F240*VLOOKUP(A240,'Задание 2 (Известные данные)'!$A$2:$D$501,4,FALSE)/1000</f>
        <v>9137.109</v>
      </c>
      <c r="H240" s="43">
        <f>ROUND(E240*VLOOKUP(C240,'Задание 2 (Справочник)'!$B$16:$C$18,2,FALSE),0)</f>
        <v>1009</v>
      </c>
      <c r="I240" s="43">
        <f t="shared" si="2"/>
        <v>4578.64</v>
      </c>
    </row>
    <row r="241" ht="13.5" customHeight="1">
      <c r="A241" s="1" t="s">
        <v>347</v>
      </c>
      <c r="B241" s="1" t="s">
        <v>76</v>
      </c>
      <c r="C241" s="41" t="str">
        <f t="shared" si="1"/>
        <v>Средний</v>
      </c>
      <c r="D241" s="42">
        <f>VLOOKUP(A241,'Задание 2 (Известные данные)'!$A$2:$D$501,2,FALSE)</f>
        <v>276543</v>
      </c>
      <c r="E241" s="43">
        <f>ROUND(D241*VLOOKUP(B241,'Задание 2 (Справочник)'!$B$8:$D$12,2,FALSE)/(1-VLOOKUP(B241,'Задание 2 (Справочник)'!$B$8:$D$12,3,FALSE)),0)</f>
        <v>276543</v>
      </c>
      <c r="F241" s="43">
        <f>VLOOKUP(A241,'Задание 2 (Известные данные)'!$A$2:$D$501,3,FALSE)</f>
        <v>193580</v>
      </c>
      <c r="G241" s="37">
        <f>F241*VLOOKUP(A241,'Задание 2 (Известные данные)'!$A$2:$D$501,4,FALSE)/1000</f>
        <v>21293.8</v>
      </c>
      <c r="H241" s="43">
        <f>ROUND(E241*VLOOKUP(C241,'Задание 2 (Справочник)'!$B$16:$C$18,2,FALSE),0)</f>
        <v>2074</v>
      </c>
      <c r="I241" s="43">
        <f t="shared" si="2"/>
        <v>10667.64</v>
      </c>
    </row>
    <row r="242" ht="13.5" customHeight="1">
      <c r="A242" s="1" t="s">
        <v>348</v>
      </c>
      <c r="B242" s="1" t="s">
        <v>76</v>
      </c>
      <c r="C242" s="41" t="str">
        <f t="shared" si="1"/>
        <v>Средний</v>
      </c>
      <c r="D242" s="42">
        <f>VLOOKUP(A242,'Задание 2 (Известные данные)'!$A$2:$D$501,2,FALSE)</f>
        <v>154321</v>
      </c>
      <c r="E242" s="43">
        <f>ROUND(D242*VLOOKUP(B242,'Задание 2 (Справочник)'!$B$8:$D$12,2,FALSE)/(1-VLOOKUP(B242,'Задание 2 (Справочник)'!$B$8:$D$12,3,FALSE)),0)</f>
        <v>154321</v>
      </c>
      <c r="F242" s="43">
        <f>VLOOKUP(A242,'Задание 2 (Известные данные)'!$A$2:$D$501,3,FALSE)</f>
        <v>108025</v>
      </c>
      <c r="G242" s="37">
        <f>F242*VLOOKUP(A242,'Задание 2 (Известные данные)'!$A$2:$D$501,4,FALSE)/1000</f>
        <v>10802.5</v>
      </c>
      <c r="H242" s="43">
        <f>ROUND(E242*VLOOKUP(C242,'Задание 2 (Справочник)'!$B$16:$C$18,2,FALSE),0)</f>
        <v>1157</v>
      </c>
      <c r="I242" s="43">
        <f t="shared" si="2"/>
        <v>5412.82</v>
      </c>
    </row>
    <row r="243" ht="13.5" customHeight="1">
      <c r="A243" s="1" t="s">
        <v>349</v>
      </c>
      <c r="B243" s="1" t="s">
        <v>76</v>
      </c>
      <c r="C243" s="41" t="str">
        <f t="shared" si="1"/>
        <v>Средний</v>
      </c>
      <c r="D243" s="42">
        <f>VLOOKUP(A243,'Задание 2 (Известные данные)'!$A$2:$D$501,2,FALSE)</f>
        <v>298761</v>
      </c>
      <c r="E243" s="43">
        <f>ROUND(D243*VLOOKUP(B243,'Задание 2 (Справочник)'!$B$8:$D$12,2,FALSE)/(1-VLOOKUP(B243,'Задание 2 (Справочник)'!$B$8:$D$12,3,FALSE)),0)</f>
        <v>298761</v>
      </c>
      <c r="F243" s="43">
        <f>VLOOKUP(A243,'Задание 2 (Известные данные)'!$A$2:$D$501,3,FALSE)</f>
        <v>209133</v>
      </c>
      <c r="G243" s="37">
        <f>F243*VLOOKUP(A243,'Задание 2 (Известные данные)'!$A$2:$D$501,4,FALSE)/1000</f>
        <v>24259.428</v>
      </c>
      <c r="H243" s="43">
        <f>ROUND(E243*VLOOKUP(C243,'Задание 2 (Справочник)'!$B$16:$C$18,2,FALSE),0)</f>
        <v>2241</v>
      </c>
      <c r="I243" s="43">
        <f t="shared" si="2"/>
        <v>12152.12</v>
      </c>
    </row>
    <row r="244" ht="13.5" customHeight="1">
      <c r="A244" s="1" t="s">
        <v>350</v>
      </c>
      <c r="B244" s="1" t="s">
        <v>76</v>
      </c>
      <c r="C244" s="41" t="str">
        <f t="shared" si="1"/>
        <v>Средний</v>
      </c>
      <c r="D244" s="42">
        <f>VLOOKUP(A244,'Задание 2 (Известные данные)'!$A$2:$D$501,2,FALSE)</f>
        <v>187654</v>
      </c>
      <c r="E244" s="43">
        <f>ROUND(D244*VLOOKUP(B244,'Задание 2 (Справочник)'!$B$8:$D$12,2,FALSE)/(1-VLOOKUP(B244,'Задание 2 (Справочник)'!$B$8:$D$12,3,FALSE)),0)</f>
        <v>187654</v>
      </c>
      <c r="F244" s="43">
        <f>VLOOKUP(A244,'Задание 2 (Известные данные)'!$A$2:$D$501,3,FALSE)</f>
        <v>131358</v>
      </c>
      <c r="G244" s="37">
        <f>F244*VLOOKUP(A244,'Задание 2 (Известные данные)'!$A$2:$D$501,4,FALSE)/1000</f>
        <v>13661.232</v>
      </c>
      <c r="H244" s="43">
        <f>ROUND(E244*VLOOKUP(C244,'Задание 2 (Справочник)'!$B$16:$C$18,2,FALSE),0)</f>
        <v>1407</v>
      </c>
      <c r="I244" s="43">
        <f t="shared" si="2"/>
        <v>6844.69</v>
      </c>
    </row>
    <row r="245" ht="13.5" customHeight="1">
      <c r="A245" s="1" t="s">
        <v>351</v>
      </c>
      <c r="B245" s="1" t="s">
        <v>76</v>
      </c>
      <c r="C245" s="41" t="str">
        <f t="shared" si="1"/>
        <v>Средний</v>
      </c>
      <c r="D245" s="42">
        <f>VLOOKUP(A245,'Задание 2 (Известные данные)'!$A$2:$D$501,2,FALSE)</f>
        <v>345210</v>
      </c>
      <c r="E245" s="43">
        <f>ROUND(D245*VLOOKUP(B245,'Задание 2 (Справочник)'!$B$8:$D$12,2,FALSE)/(1-VLOOKUP(B245,'Задание 2 (Справочник)'!$B$8:$D$12,3,FALSE)),0)</f>
        <v>345210</v>
      </c>
      <c r="F245" s="43">
        <f>VLOOKUP(A245,'Задание 2 (Известные данные)'!$A$2:$D$501,3,FALSE)</f>
        <v>241647</v>
      </c>
      <c r="G245" s="37">
        <f>F245*VLOOKUP(A245,'Задание 2 (Известные данные)'!$A$2:$D$501,4,FALSE)/1000</f>
        <v>29964.228</v>
      </c>
      <c r="H245" s="43">
        <f>ROUND(E245*VLOOKUP(C245,'Задание 2 (Справочник)'!$B$16:$C$18,2,FALSE),0)</f>
        <v>2589</v>
      </c>
      <c r="I245" s="43">
        <f t="shared" si="2"/>
        <v>15008</v>
      </c>
    </row>
    <row r="246" ht="13.5" customHeight="1">
      <c r="A246" s="1" t="s">
        <v>352</v>
      </c>
      <c r="B246" s="1" t="s">
        <v>76</v>
      </c>
      <c r="C246" s="41" t="str">
        <f t="shared" si="1"/>
        <v>Средний</v>
      </c>
      <c r="D246" s="42">
        <f>VLOOKUP(A246,'Задание 2 (Известные данные)'!$A$2:$D$501,2,FALSE)</f>
        <v>165432</v>
      </c>
      <c r="E246" s="43">
        <f>ROUND(D246*VLOOKUP(B246,'Задание 2 (Справочник)'!$B$8:$D$12,2,FALSE)/(1-VLOOKUP(B246,'Задание 2 (Справочник)'!$B$8:$D$12,3,FALSE)),0)</f>
        <v>165432</v>
      </c>
      <c r="F246" s="43">
        <f>VLOOKUP(A246,'Задание 2 (Известные данные)'!$A$2:$D$501,3,FALSE)</f>
        <v>115802</v>
      </c>
      <c r="G246" s="37">
        <f>F246*VLOOKUP(A246,'Задание 2 (Известные данные)'!$A$2:$D$501,4,FALSE)/1000</f>
        <v>11927.606</v>
      </c>
      <c r="H246" s="43">
        <f>ROUND(E246*VLOOKUP(C246,'Задание 2 (Справочник)'!$B$16:$C$18,2,FALSE),0)</f>
        <v>1241</v>
      </c>
      <c r="I246" s="43">
        <f t="shared" si="2"/>
        <v>5976.21</v>
      </c>
    </row>
    <row r="247" ht="13.5" customHeight="1">
      <c r="A247" s="1" t="s">
        <v>353</v>
      </c>
      <c r="B247" s="1" t="s">
        <v>76</v>
      </c>
      <c r="C247" s="41" t="str">
        <f t="shared" si="1"/>
        <v>Средний</v>
      </c>
      <c r="D247" s="42">
        <f>VLOOKUP(A247,'Задание 2 (Известные данные)'!$A$2:$D$501,2,FALSE)</f>
        <v>278901</v>
      </c>
      <c r="E247" s="43">
        <f>ROUND(D247*VLOOKUP(B247,'Задание 2 (Справочник)'!$B$8:$D$12,2,FALSE)/(1-VLOOKUP(B247,'Задание 2 (Справочник)'!$B$8:$D$12,3,FALSE)),0)</f>
        <v>278901</v>
      </c>
      <c r="F247" s="43">
        <f>VLOOKUP(A247,'Задание 2 (Известные данные)'!$A$2:$D$501,3,FALSE)</f>
        <v>195231</v>
      </c>
      <c r="G247" s="37">
        <f>F247*VLOOKUP(A247,'Задание 2 (Известные данные)'!$A$2:$D$501,4,FALSE)/1000</f>
        <v>22061.103</v>
      </c>
      <c r="H247" s="43">
        <f>ROUND(E247*VLOOKUP(C247,'Задание 2 (Справочник)'!$B$16:$C$18,2,FALSE),0)</f>
        <v>2092</v>
      </c>
      <c r="I247" s="43">
        <f t="shared" si="2"/>
        <v>11051.47</v>
      </c>
    </row>
    <row r="248" ht="13.5" customHeight="1">
      <c r="A248" s="1" t="s">
        <v>354</v>
      </c>
      <c r="B248" s="1" t="s">
        <v>76</v>
      </c>
      <c r="C248" s="41" t="str">
        <f t="shared" si="1"/>
        <v>Средний</v>
      </c>
      <c r="D248" s="42">
        <f>VLOOKUP(A248,'Задание 2 (Известные данные)'!$A$2:$D$501,2,FALSE)</f>
        <v>199876</v>
      </c>
      <c r="E248" s="43">
        <f>ROUND(D248*VLOOKUP(B248,'Задание 2 (Справочник)'!$B$8:$D$12,2,FALSE)/(1-VLOOKUP(B248,'Задание 2 (Справочник)'!$B$8:$D$12,3,FALSE)),0)</f>
        <v>199876</v>
      </c>
      <c r="F248" s="43">
        <f>VLOOKUP(A248,'Задание 2 (Известные данные)'!$A$2:$D$501,3,FALSE)</f>
        <v>139913</v>
      </c>
      <c r="G248" s="37">
        <f>F248*VLOOKUP(A248,'Задание 2 (Известные данные)'!$A$2:$D$501,4,FALSE)/1000</f>
        <v>14970.691</v>
      </c>
      <c r="H248" s="43">
        <f>ROUND(E248*VLOOKUP(C248,'Задание 2 (Справочник)'!$B$16:$C$18,2,FALSE),0)</f>
        <v>1499</v>
      </c>
      <c r="I248" s="43">
        <f t="shared" si="2"/>
        <v>7500.34</v>
      </c>
    </row>
    <row r="249" ht="13.5" customHeight="1">
      <c r="A249" s="1" t="s">
        <v>355</v>
      </c>
      <c r="B249" s="1" t="s">
        <v>76</v>
      </c>
      <c r="C249" s="41" t="str">
        <f t="shared" si="1"/>
        <v>Маленький</v>
      </c>
      <c r="D249" s="42">
        <f>VLOOKUP(A249,'Задание 2 (Известные данные)'!$A$2:$D$501,2,FALSE)</f>
        <v>54321</v>
      </c>
      <c r="E249" s="43">
        <f>ROUND(D249*VLOOKUP(B249,'Задание 2 (Справочник)'!$B$8:$D$12,2,FALSE)/(1-VLOOKUP(B249,'Задание 2 (Справочник)'!$B$8:$D$12,3,FALSE)),0)</f>
        <v>54321</v>
      </c>
      <c r="F249" s="43">
        <f>VLOOKUP(A249,'Задание 2 (Известные данные)'!$A$2:$D$501,3,FALSE)</f>
        <v>38025</v>
      </c>
      <c r="G249" s="37">
        <f>F249*VLOOKUP(A249,'Задание 2 (Известные данные)'!$A$2:$D$501,4,FALSE)/1000</f>
        <v>2737.8</v>
      </c>
      <c r="H249" s="43">
        <f>ROUND(E249*VLOOKUP(C249,'Задание 2 (Справочник)'!$B$16:$C$18,2,FALSE),0)</f>
        <v>543</v>
      </c>
      <c r="I249" s="43">
        <f t="shared" si="2"/>
        <v>1374.33</v>
      </c>
    </row>
    <row r="250" ht="13.5" customHeight="1">
      <c r="A250" s="1" t="s">
        <v>356</v>
      </c>
      <c r="B250" s="1" t="s">
        <v>76</v>
      </c>
      <c r="C250" s="41" t="str">
        <f t="shared" si="1"/>
        <v>Маленький</v>
      </c>
      <c r="D250" s="42">
        <f>VLOOKUP(A250,'Задание 2 (Известные данные)'!$A$2:$D$501,2,FALSE)</f>
        <v>87654</v>
      </c>
      <c r="E250" s="43">
        <f>ROUND(D250*VLOOKUP(B250,'Задание 2 (Справочник)'!$B$8:$D$12,2,FALSE)/(1-VLOOKUP(B250,'Задание 2 (Справочник)'!$B$8:$D$12,3,FALSE)),0)</f>
        <v>87654</v>
      </c>
      <c r="F250" s="43">
        <f>VLOOKUP(A250,'Задание 2 (Известные данные)'!$A$2:$D$501,3,FALSE)</f>
        <v>61358</v>
      </c>
      <c r="G250" s="37">
        <f>F250*VLOOKUP(A250,'Задание 2 (Известные данные)'!$A$2:$D$501,4,FALSE)/1000</f>
        <v>5276.788</v>
      </c>
      <c r="H250" s="43">
        <f>ROUND(E250*VLOOKUP(C250,'Задание 2 (Справочник)'!$B$16:$C$18,2,FALSE),0)</f>
        <v>877</v>
      </c>
      <c r="I250" s="43">
        <f t="shared" si="2"/>
        <v>2647.16</v>
      </c>
    </row>
    <row r="251" ht="13.5" customHeight="1">
      <c r="A251" s="1" t="s">
        <v>357</v>
      </c>
      <c r="B251" s="1" t="s">
        <v>76</v>
      </c>
      <c r="C251" s="41" t="str">
        <f t="shared" si="1"/>
        <v>Маленький</v>
      </c>
      <c r="D251" s="42">
        <f>VLOOKUP(A251,'Задание 2 (Известные данные)'!$A$2:$D$501,2,FALSE)</f>
        <v>23456</v>
      </c>
      <c r="E251" s="43">
        <f>ROUND(D251*VLOOKUP(B251,'Задание 2 (Справочник)'!$B$8:$D$12,2,FALSE)/(1-VLOOKUP(B251,'Задание 2 (Справочник)'!$B$8:$D$12,3,FALSE)),0)</f>
        <v>23456</v>
      </c>
      <c r="F251" s="43">
        <f>VLOOKUP(A251,'Задание 2 (Известные данные)'!$A$2:$D$501,3,FALSE)</f>
        <v>16419</v>
      </c>
      <c r="G251" s="37">
        <f>F251*VLOOKUP(A251,'Задание 2 (Известные данные)'!$A$2:$D$501,4,FALSE)/1000</f>
        <v>968.721</v>
      </c>
      <c r="H251" s="43">
        <f>ROUND(E251*VLOOKUP(C251,'Задание 2 (Справочник)'!$B$16:$C$18,2,FALSE),0)</f>
        <v>235</v>
      </c>
      <c r="I251" s="43">
        <f t="shared" si="2"/>
        <v>486.71</v>
      </c>
    </row>
    <row r="252" ht="13.5" customHeight="1">
      <c r="A252" s="1" t="s">
        <v>358</v>
      </c>
      <c r="B252" s="1" t="s">
        <v>76</v>
      </c>
      <c r="C252" s="41" t="str">
        <f t="shared" si="1"/>
        <v>Маленький</v>
      </c>
      <c r="D252" s="42">
        <f>VLOOKUP(A252,'Задание 2 (Известные данные)'!$A$2:$D$501,2,FALSE)</f>
        <v>98765</v>
      </c>
      <c r="E252" s="43">
        <f>ROUND(D252*VLOOKUP(B252,'Задание 2 (Справочник)'!$B$8:$D$12,2,FALSE)/(1-VLOOKUP(B252,'Задание 2 (Справочник)'!$B$8:$D$12,3,FALSE)),0)</f>
        <v>98765</v>
      </c>
      <c r="F252" s="43">
        <f>VLOOKUP(A252,'Задание 2 (Известные данные)'!$A$2:$D$501,3,FALSE)</f>
        <v>69136</v>
      </c>
      <c r="G252" s="37">
        <f>F252*VLOOKUP(A252,'Задание 2 (Известные данные)'!$A$2:$D$501,4,FALSE)/1000</f>
        <v>6291.376</v>
      </c>
      <c r="H252" s="43">
        <f>ROUND(E252*VLOOKUP(C252,'Задание 2 (Справочник)'!$B$16:$C$18,2,FALSE),0)</f>
        <v>988</v>
      </c>
      <c r="I252" s="43">
        <f t="shared" si="2"/>
        <v>3155.57</v>
      </c>
    </row>
    <row r="253" ht="13.5" customHeight="1">
      <c r="A253" s="1" t="s">
        <v>359</v>
      </c>
      <c r="B253" s="1" t="s">
        <v>76</v>
      </c>
      <c r="C253" s="41" t="str">
        <f t="shared" si="1"/>
        <v>Маленький</v>
      </c>
      <c r="D253" s="42">
        <f>VLOOKUP(A253,'Задание 2 (Известные данные)'!$A$2:$D$501,2,FALSE)</f>
        <v>34567</v>
      </c>
      <c r="E253" s="43">
        <f>ROUND(D253*VLOOKUP(B253,'Задание 2 (Справочник)'!$B$8:$D$12,2,FALSE)/(1-VLOOKUP(B253,'Задание 2 (Справочник)'!$B$8:$D$12,3,FALSE)),0)</f>
        <v>34567</v>
      </c>
      <c r="F253" s="43">
        <f>VLOOKUP(A253,'Задание 2 (Известные данные)'!$A$2:$D$501,3,FALSE)</f>
        <v>24197</v>
      </c>
      <c r="G253" s="37">
        <f>F253*VLOOKUP(A253,'Задание 2 (Известные данные)'!$A$2:$D$501,4,FALSE)/1000</f>
        <v>1621.199</v>
      </c>
      <c r="H253" s="43">
        <f>ROUND(E253*VLOOKUP(C253,'Задание 2 (Справочник)'!$B$16:$C$18,2,FALSE),0)</f>
        <v>346</v>
      </c>
      <c r="I253" s="43">
        <f t="shared" si="2"/>
        <v>814.06</v>
      </c>
    </row>
    <row r="254" ht="13.5" customHeight="1">
      <c r="A254" s="1" t="s">
        <v>360</v>
      </c>
      <c r="B254" s="1" t="s">
        <v>76</v>
      </c>
      <c r="C254" s="41" t="str">
        <f t="shared" si="1"/>
        <v>Маленький</v>
      </c>
      <c r="D254" s="42">
        <f>VLOOKUP(A254,'Задание 2 (Известные данные)'!$A$2:$D$501,2,FALSE)</f>
        <v>65432</v>
      </c>
      <c r="E254" s="43">
        <f>ROUND(D254*VLOOKUP(B254,'Задание 2 (Справочник)'!$B$8:$D$12,2,FALSE)/(1-VLOOKUP(B254,'Задание 2 (Справочник)'!$B$8:$D$12,3,FALSE)),0)</f>
        <v>65432</v>
      </c>
      <c r="F254" s="43">
        <f>VLOOKUP(A254,'Задание 2 (Известные данные)'!$A$2:$D$501,3,FALSE)</f>
        <v>45802</v>
      </c>
      <c r="G254" s="37">
        <f>F254*VLOOKUP(A254,'Задание 2 (Известные данные)'!$A$2:$D$501,4,FALSE)/1000</f>
        <v>3572.556</v>
      </c>
      <c r="H254" s="43">
        <f>ROUND(E254*VLOOKUP(C254,'Задание 2 (Справочник)'!$B$16:$C$18,2,FALSE),0)</f>
        <v>654</v>
      </c>
      <c r="I254" s="43">
        <f t="shared" si="2"/>
        <v>1792.82</v>
      </c>
    </row>
    <row r="255" ht="13.5" customHeight="1">
      <c r="A255" s="1" t="s">
        <v>361</v>
      </c>
      <c r="B255" s="1" t="s">
        <v>76</v>
      </c>
      <c r="C255" s="41" t="str">
        <f t="shared" si="1"/>
        <v>Маленький</v>
      </c>
      <c r="D255" s="42">
        <f>VLOOKUP(A255,'Задание 2 (Известные данные)'!$A$2:$D$501,2,FALSE)</f>
        <v>12345</v>
      </c>
      <c r="E255" s="43">
        <f>ROUND(D255*VLOOKUP(B255,'Задание 2 (Справочник)'!$B$8:$D$12,2,FALSE)/(1-VLOOKUP(B255,'Задание 2 (Справочник)'!$B$8:$D$12,3,FALSE)),0)</f>
        <v>12345</v>
      </c>
      <c r="F255" s="43">
        <f>VLOOKUP(A255,'Задание 2 (Известные данные)'!$A$2:$D$501,3,FALSE)</f>
        <v>8642</v>
      </c>
      <c r="G255" s="37">
        <f>F255*VLOOKUP(A255,'Задание 2 (Известные данные)'!$A$2:$D$501,4,FALSE)/1000</f>
        <v>458.026</v>
      </c>
      <c r="H255" s="43">
        <f>ROUND(E255*VLOOKUP(C255,'Задание 2 (Справочник)'!$B$16:$C$18,2,FALSE),0)</f>
        <v>123</v>
      </c>
      <c r="I255" s="43">
        <f t="shared" si="2"/>
        <v>230.24</v>
      </c>
    </row>
    <row r="256" ht="13.5" customHeight="1">
      <c r="A256" s="1" t="s">
        <v>362</v>
      </c>
      <c r="B256" s="1" t="s">
        <v>76</v>
      </c>
      <c r="C256" s="41" t="str">
        <f t="shared" si="1"/>
        <v>Маленький</v>
      </c>
      <c r="D256" s="42">
        <f>VLOOKUP(A256,'Задание 2 (Известные данные)'!$A$2:$D$501,2,FALSE)</f>
        <v>76543</v>
      </c>
      <c r="E256" s="43">
        <f>ROUND(D256*VLOOKUP(B256,'Задание 2 (Справочник)'!$B$8:$D$12,2,FALSE)/(1-VLOOKUP(B256,'Задание 2 (Справочник)'!$B$8:$D$12,3,FALSE)),0)</f>
        <v>76543</v>
      </c>
      <c r="F256" s="43">
        <f>VLOOKUP(A256,'Задание 2 (Известные данные)'!$A$2:$D$501,3,FALSE)</f>
        <v>53580</v>
      </c>
      <c r="G256" s="37">
        <f>F256*VLOOKUP(A256,'Задание 2 (Известные данные)'!$A$2:$D$501,4,FALSE)/1000</f>
        <v>4447.14</v>
      </c>
      <c r="H256" s="43">
        <f>ROUND(E256*VLOOKUP(C256,'Задание 2 (Справочник)'!$B$16:$C$18,2,FALSE),0)</f>
        <v>765</v>
      </c>
      <c r="I256" s="43">
        <f t="shared" si="2"/>
        <v>2231.22</v>
      </c>
    </row>
    <row r="257" ht="13.5" customHeight="1">
      <c r="A257" s="1" t="s">
        <v>363</v>
      </c>
      <c r="B257" s="1" t="s">
        <v>76</v>
      </c>
      <c r="C257" s="41" t="str">
        <f t="shared" si="1"/>
        <v>Маленький</v>
      </c>
      <c r="D257" s="42">
        <f>VLOOKUP(A257,'Задание 2 (Известные данные)'!$A$2:$D$501,2,FALSE)</f>
        <v>43210</v>
      </c>
      <c r="E257" s="43">
        <f>ROUND(D257*VLOOKUP(B257,'Задание 2 (Справочник)'!$B$8:$D$12,2,FALSE)/(1-VLOOKUP(B257,'Задание 2 (Справочник)'!$B$8:$D$12,3,FALSE)),0)</f>
        <v>43210</v>
      </c>
      <c r="F257" s="43">
        <f>VLOOKUP(A257,'Задание 2 (Известные данные)'!$A$2:$D$501,3,FALSE)</f>
        <v>30247</v>
      </c>
      <c r="G257" s="37">
        <f>F257*VLOOKUP(A257,'Задание 2 (Известные данные)'!$A$2:$D$501,4,FALSE)/1000</f>
        <v>1905.561</v>
      </c>
      <c r="H257" s="43">
        <f>ROUND(E257*VLOOKUP(C257,'Задание 2 (Справочник)'!$B$16:$C$18,2,FALSE),0)</f>
        <v>432</v>
      </c>
      <c r="I257" s="43">
        <f t="shared" si="2"/>
        <v>957.1</v>
      </c>
    </row>
    <row r="258" ht="13.5" customHeight="1">
      <c r="A258" s="1" t="s">
        <v>364</v>
      </c>
      <c r="B258" s="1" t="s">
        <v>76</v>
      </c>
      <c r="C258" s="41" t="str">
        <f t="shared" si="1"/>
        <v>Маленький</v>
      </c>
      <c r="D258" s="42">
        <f>VLOOKUP(A258,'Задание 2 (Известные данные)'!$A$2:$D$501,2,FALSE)</f>
        <v>56789</v>
      </c>
      <c r="E258" s="43">
        <f>ROUND(D258*VLOOKUP(B258,'Задание 2 (Справочник)'!$B$8:$D$12,2,FALSE)/(1-VLOOKUP(B258,'Задание 2 (Справочник)'!$B$8:$D$12,3,FALSE)),0)</f>
        <v>56789</v>
      </c>
      <c r="F258" s="43">
        <f>VLOOKUP(A258,'Задание 2 (Известные данные)'!$A$2:$D$501,3,FALSE)</f>
        <v>39752</v>
      </c>
      <c r="G258" s="37">
        <f>F258*VLOOKUP(A258,'Задание 2 (Известные данные)'!$A$2:$D$501,4,FALSE)/1000</f>
        <v>2981.4</v>
      </c>
      <c r="H258" s="43">
        <f>ROUND(E258*VLOOKUP(C258,'Задание 2 (Справочник)'!$B$16:$C$18,2,FALSE),0)</f>
        <v>568</v>
      </c>
      <c r="I258" s="43">
        <f t="shared" si="2"/>
        <v>1496.38</v>
      </c>
    </row>
    <row r="259" ht="13.5" customHeight="1">
      <c r="A259" s="1" t="s">
        <v>365</v>
      </c>
      <c r="B259" s="1" t="s">
        <v>76</v>
      </c>
      <c r="C259" s="41" t="str">
        <f t="shared" si="1"/>
        <v>Маленький</v>
      </c>
      <c r="D259" s="42">
        <f>VLOOKUP(A259,'Задание 2 (Известные данные)'!$A$2:$D$501,2,FALSE)</f>
        <v>87654</v>
      </c>
      <c r="E259" s="43">
        <f>ROUND(D259*VLOOKUP(B259,'Задание 2 (Справочник)'!$B$8:$D$12,2,FALSE)/(1-VLOOKUP(B259,'Задание 2 (Справочник)'!$B$8:$D$12,3,FALSE)),0)</f>
        <v>87654</v>
      </c>
      <c r="F259" s="43">
        <f>VLOOKUP(A259,'Задание 2 (Известные данные)'!$A$2:$D$501,3,FALSE)</f>
        <v>61358</v>
      </c>
      <c r="G259" s="37">
        <f>F259*VLOOKUP(A259,'Задание 2 (Известные данные)'!$A$2:$D$501,4,FALSE)/1000</f>
        <v>5338.146</v>
      </c>
      <c r="H259" s="43">
        <f>ROUND(E259*VLOOKUP(C259,'Задание 2 (Справочник)'!$B$16:$C$18,2,FALSE),0)</f>
        <v>877</v>
      </c>
      <c r="I259" s="43">
        <f t="shared" si="2"/>
        <v>2677.84</v>
      </c>
    </row>
    <row r="260" ht="13.5" customHeight="1">
      <c r="A260" s="1" t="s">
        <v>366</v>
      </c>
      <c r="B260" s="1" t="s">
        <v>76</v>
      </c>
      <c r="C260" s="41" t="str">
        <f t="shared" si="1"/>
        <v>Маленький</v>
      </c>
      <c r="D260" s="42">
        <f>VLOOKUP(A260,'Задание 2 (Известные данные)'!$A$2:$D$501,2,FALSE)</f>
        <v>23456</v>
      </c>
      <c r="E260" s="43">
        <f>ROUND(D260*VLOOKUP(B260,'Задание 2 (Справочник)'!$B$8:$D$12,2,FALSE)/(1-VLOOKUP(B260,'Задание 2 (Справочник)'!$B$8:$D$12,3,FALSE)),0)</f>
        <v>23456</v>
      </c>
      <c r="F260" s="43">
        <f>VLOOKUP(A260,'Задание 2 (Известные данные)'!$A$2:$D$501,3,FALSE)</f>
        <v>16419</v>
      </c>
      <c r="G260" s="37">
        <f>F260*VLOOKUP(A260,'Задание 2 (Известные данные)'!$A$2:$D$501,4,FALSE)/1000</f>
        <v>952.302</v>
      </c>
      <c r="H260" s="43">
        <f>ROUND(E260*VLOOKUP(C260,'Задание 2 (Справочник)'!$B$16:$C$18,2,FALSE),0)</f>
        <v>235</v>
      </c>
      <c r="I260" s="43">
        <f t="shared" si="2"/>
        <v>478.5</v>
      </c>
    </row>
    <row r="261" ht="13.5" customHeight="1">
      <c r="A261" s="1" t="s">
        <v>367</v>
      </c>
      <c r="B261" s="1" t="s">
        <v>76</v>
      </c>
      <c r="C261" s="41" t="str">
        <f t="shared" si="1"/>
        <v>Маленький</v>
      </c>
      <c r="D261" s="42">
        <f>VLOOKUP(A261,'Задание 2 (Известные данные)'!$A$2:$D$501,2,FALSE)</f>
        <v>98765</v>
      </c>
      <c r="E261" s="43">
        <f>ROUND(D261*VLOOKUP(B261,'Задание 2 (Справочник)'!$B$8:$D$12,2,FALSE)/(1-VLOOKUP(B261,'Задание 2 (Справочник)'!$B$8:$D$12,3,FALSE)),0)</f>
        <v>98765</v>
      </c>
      <c r="F261" s="43">
        <f>VLOOKUP(A261,'Задание 2 (Известные данные)'!$A$2:$D$501,3,FALSE)</f>
        <v>69136</v>
      </c>
      <c r="G261" s="37">
        <f>F261*VLOOKUP(A261,'Задание 2 (Известные данные)'!$A$2:$D$501,4,FALSE)/1000</f>
        <v>6360.512</v>
      </c>
      <c r="H261" s="43">
        <f>ROUND(E261*VLOOKUP(C261,'Задание 2 (Справочник)'!$B$16:$C$18,2,FALSE),0)</f>
        <v>988</v>
      </c>
      <c r="I261" s="43">
        <f t="shared" si="2"/>
        <v>3190.14</v>
      </c>
    </row>
    <row r="262" ht="13.5" customHeight="1">
      <c r="A262" s="1" t="s">
        <v>368</v>
      </c>
      <c r="B262" s="1" t="s">
        <v>76</v>
      </c>
      <c r="C262" s="41" t="str">
        <f t="shared" si="1"/>
        <v>Маленький</v>
      </c>
      <c r="D262" s="42">
        <f>VLOOKUP(A262,'Задание 2 (Известные данные)'!$A$2:$D$501,2,FALSE)</f>
        <v>34567</v>
      </c>
      <c r="E262" s="43">
        <f>ROUND(D262*VLOOKUP(B262,'Задание 2 (Справочник)'!$B$8:$D$12,2,FALSE)/(1-VLOOKUP(B262,'Задание 2 (Справочник)'!$B$8:$D$12,3,FALSE)),0)</f>
        <v>34567</v>
      </c>
      <c r="F262" s="43">
        <f>VLOOKUP(A262,'Задание 2 (Известные данные)'!$A$2:$D$501,3,FALSE)</f>
        <v>24197</v>
      </c>
      <c r="G262" s="37">
        <f>F262*VLOOKUP(A262,'Задание 2 (Известные данные)'!$A$2:$D$501,4,FALSE)/1000</f>
        <v>1645.396</v>
      </c>
      <c r="H262" s="43">
        <f>ROUND(E262*VLOOKUP(C262,'Задание 2 (Справочник)'!$B$16:$C$18,2,FALSE),0)</f>
        <v>346</v>
      </c>
      <c r="I262" s="43">
        <f t="shared" si="2"/>
        <v>826.16</v>
      </c>
    </row>
    <row r="263" ht="13.5" customHeight="1">
      <c r="A263" s="1" t="s">
        <v>369</v>
      </c>
      <c r="B263" s="1" t="s">
        <v>76</v>
      </c>
      <c r="C263" s="41" t="str">
        <f t="shared" si="1"/>
        <v>Маленький</v>
      </c>
      <c r="D263" s="42">
        <f>VLOOKUP(A263,'Задание 2 (Известные данные)'!$A$2:$D$501,2,FALSE)</f>
        <v>65432</v>
      </c>
      <c r="E263" s="43">
        <f>ROUND(D263*VLOOKUP(B263,'Задание 2 (Справочник)'!$B$8:$D$12,2,FALSE)/(1-VLOOKUP(B263,'Задание 2 (Справочник)'!$B$8:$D$12,3,FALSE)),0)</f>
        <v>65432</v>
      </c>
      <c r="F263" s="43">
        <f>VLOOKUP(A263,'Задание 2 (Известные данные)'!$A$2:$D$501,3,FALSE)</f>
        <v>45802</v>
      </c>
      <c r="G263" s="37">
        <f>F263*VLOOKUP(A263,'Задание 2 (Известные данные)'!$A$2:$D$501,4,FALSE)/1000</f>
        <v>3526.754</v>
      </c>
      <c r="H263" s="43">
        <f>ROUND(E263*VLOOKUP(C263,'Задание 2 (Справочник)'!$B$16:$C$18,2,FALSE),0)</f>
        <v>654</v>
      </c>
      <c r="I263" s="43">
        <f t="shared" si="2"/>
        <v>1769.92</v>
      </c>
    </row>
    <row r="264" ht="13.5" customHeight="1">
      <c r="A264" s="1" t="s">
        <v>370</v>
      </c>
      <c r="B264" s="1" t="s">
        <v>76</v>
      </c>
      <c r="C264" s="41" t="str">
        <f t="shared" si="1"/>
        <v>Маленький</v>
      </c>
      <c r="D264" s="42">
        <f>VLOOKUP(A264,'Задание 2 (Известные данные)'!$A$2:$D$501,2,FALSE)</f>
        <v>12345</v>
      </c>
      <c r="E264" s="43">
        <f>ROUND(D264*VLOOKUP(B264,'Задание 2 (Справочник)'!$B$8:$D$12,2,FALSE)/(1-VLOOKUP(B264,'Задание 2 (Справочник)'!$B$8:$D$12,3,FALSE)),0)</f>
        <v>12345</v>
      </c>
      <c r="F264" s="43">
        <f>VLOOKUP(A264,'Задание 2 (Известные данные)'!$A$2:$D$501,3,FALSE)</f>
        <v>8642</v>
      </c>
      <c r="G264" s="37">
        <f>F264*VLOOKUP(A264,'Задание 2 (Известные данные)'!$A$2:$D$501,4,FALSE)/1000</f>
        <v>466.668</v>
      </c>
      <c r="H264" s="43">
        <f>ROUND(E264*VLOOKUP(C264,'Задание 2 (Справочник)'!$B$16:$C$18,2,FALSE),0)</f>
        <v>123</v>
      </c>
      <c r="I264" s="43">
        <f t="shared" si="2"/>
        <v>234.56</v>
      </c>
    </row>
    <row r="265" ht="13.5" customHeight="1">
      <c r="A265" s="1" t="s">
        <v>371</v>
      </c>
      <c r="B265" s="1" t="s">
        <v>76</v>
      </c>
      <c r="C265" s="41" t="str">
        <f t="shared" si="1"/>
        <v>Маленький</v>
      </c>
      <c r="D265" s="42">
        <f>VLOOKUP(A265,'Задание 2 (Известные данные)'!$A$2:$D$501,2,FALSE)</f>
        <v>76543</v>
      </c>
      <c r="E265" s="43">
        <f>ROUND(D265*VLOOKUP(B265,'Задание 2 (Справочник)'!$B$8:$D$12,2,FALSE)/(1-VLOOKUP(B265,'Задание 2 (Справочник)'!$B$8:$D$12,3,FALSE)),0)</f>
        <v>76543</v>
      </c>
      <c r="F265" s="43">
        <f>VLOOKUP(A265,'Задание 2 (Известные данные)'!$A$2:$D$501,3,FALSE)</f>
        <v>53580</v>
      </c>
      <c r="G265" s="37">
        <f>F265*VLOOKUP(A265,'Задание 2 (Известные данные)'!$A$2:$D$501,4,FALSE)/1000</f>
        <v>4500.72</v>
      </c>
      <c r="H265" s="43">
        <f>ROUND(E265*VLOOKUP(C265,'Задание 2 (Справочник)'!$B$16:$C$18,2,FALSE),0)</f>
        <v>765</v>
      </c>
      <c r="I265" s="43">
        <f t="shared" si="2"/>
        <v>2258.01</v>
      </c>
    </row>
    <row r="266" ht="13.5" customHeight="1">
      <c r="A266" s="1" t="s">
        <v>372</v>
      </c>
      <c r="B266" s="1" t="s">
        <v>76</v>
      </c>
      <c r="C266" s="41" t="str">
        <f t="shared" si="1"/>
        <v>Маленький</v>
      </c>
      <c r="D266" s="42">
        <f>VLOOKUP(A266,'Задание 2 (Известные данные)'!$A$2:$D$501,2,FALSE)</f>
        <v>43210</v>
      </c>
      <c r="E266" s="43">
        <f>ROUND(D266*VLOOKUP(B266,'Задание 2 (Справочник)'!$B$8:$D$12,2,FALSE)/(1-VLOOKUP(B266,'Задание 2 (Справочник)'!$B$8:$D$12,3,FALSE)),0)</f>
        <v>43210</v>
      </c>
      <c r="F266" s="43">
        <f>VLOOKUP(A266,'Задание 2 (Известные данные)'!$A$2:$D$501,3,FALSE)</f>
        <v>30247</v>
      </c>
      <c r="G266" s="37">
        <f>F266*VLOOKUP(A266,'Задание 2 (Известные данные)'!$A$2:$D$501,4,FALSE)/1000</f>
        <v>1875.314</v>
      </c>
      <c r="H266" s="43">
        <f>ROUND(E266*VLOOKUP(C266,'Задание 2 (Справочник)'!$B$16:$C$18,2,FALSE),0)</f>
        <v>432</v>
      </c>
      <c r="I266" s="43">
        <f t="shared" si="2"/>
        <v>941.98</v>
      </c>
    </row>
    <row r="267" ht="13.5" customHeight="1">
      <c r="A267" s="1" t="s">
        <v>373</v>
      </c>
      <c r="B267" s="1" t="s">
        <v>76</v>
      </c>
      <c r="C267" s="41" t="str">
        <f t="shared" si="1"/>
        <v>Маленький</v>
      </c>
      <c r="D267" s="42">
        <f>VLOOKUP(A267,'Задание 2 (Известные данные)'!$A$2:$D$501,2,FALSE)</f>
        <v>56789</v>
      </c>
      <c r="E267" s="43">
        <f>ROUND(D267*VLOOKUP(B267,'Задание 2 (Справочник)'!$B$8:$D$12,2,FALSE)/(1-VLOOKUP(B267,'Задание 2 (Справочник)'!$B$8:$D$12,3,FALSE)),0)</f>
        <v>56789</v>
      </c>
      <c r="F267" s="43">
        <f>VLOOKUP(A267,'Задание 2 (Известные данные)'!$A$2:$D$501,3,FALSE)</f>
        <v>39752</v>
      </c>
      <c r="G267" s="37">
        <f>F267*VLOOKUP(A267,'Задание 2 (Известные данные)'!$A$2:$D$501,4,FALSE)/1000</f>
        <v>2941.648</v>
      </c>
      <c r="H267" s="43">
        <f>ROUND(E267*VLOOKUP(C267,'Задание 2 (Справочник)'!$B$16:$C$18,2,FALSE),0)</f>
        <v>568</v>
      </c>
      <c r="I267" s="43">
        <f t="shared" si="2"/>
        <v>1476.5</v>
      </c>
    </row>
    <row r="268" ht="13.5" customHeight="1">
      <c r="A268" s="1" t="s">
        <v>374</v>
      </c>
      <c r="B268" s="1" t="s">
        <v>76</v>
      </c>
      <c r="C268" s="41" t="str">
        <f t="shared" si="1"/>
        <v>Маленький</v>
      </c>
      <c r="D268" s="42">
        <f>VLOOKUP(A268,'Задание 2 (Известные данные)'!$A$2:$D$501,2,FALSE)</f>
        <v>87654</v>
      </c>
      <c r="E268" s="43">
        <f>ROUND(D268*VLOOKUP(B268,'Задание 2 (Справочник)'!$B$8:$D$12,2,FALSE)/(1-VLOOKUP(B268,'Задание 2 (Справочник)'!$B$8:$D$12,3,FALSE)),0)</f>
        <v>87654</v>
      </c>
      <c r="F268" s="43">
        <f>VLOOKUP(A268,'Задание 2 (Известные данные)'!$A$2:$D$501,3,FALSE)</f>
        <v>61358</v>
      </c>
      <c r="G268" s="37">
        <f>F268*VLOOKUP(A268,'Задание 2 (Известные данные)'!$A$2:$D$501,4,FALSE)/1000</f>
        <v>5399.504</v>
      </c>
      <c r="H268" s="43">
        <f>ROUND(E268*VLOOKUP(C268,'Задание 2 (Справочник)'!$B$16:$C$18,2,FALSE),0)</f>
        <v>877</v>
      </c>
      <c r="I268" s="43">
        <f t="shared" si="2"/>
        <v>2708.52</v>
      </c>
    </row>
    <row r="269" ht="13.5" customHeight="1">
      <c r="A269" s="1" t="s">
        <v>375</v>
      </c>
      <c r="B269" s="1" t="s">
        <v>76</v>
      </c>
      <c r="C269" s="41" t="str">
        <f t="shared" si="1"/>
        <v>Маленький</v>
      </c>
      <c r="D269" s="42">
        <f>VLOOKUP(A269,'Задание 2 (Известные данные)'!$A$2:$D$501,2,FALSE)</f>
        <v>23456</v>
      </c>
      <c r="E269" s="43">
        <f>ROUND(D269*VLOOKUP(B269,'Задание 2 (Справочник)'!$B$8:$D$12,2,FALSE)/(1-VLOOKUP(B269,'Задание 2 (Справочник)'!$B$8:$D$12,3,FALSE)),0)</f>
        <v>23456</v>
      </c>
      <c r="F269" s="43">
        <f>VLOOKUP(A269,'Задание 2 (Известные данные)'!$A$2:$D$501,3,FALSE)</f>
        <v>16419</v>
      </c>
      <c r="G269" s="37">
        <f>F269*VLOOKUP(A269,'Задание 2 (Известные данные)'!$A$2:$D$501,4,FALSE)/1000</f>
        <v>935.883</v>
      </c>
      <c r="H269" s="43">
        <f>ROUND(E269*VLOOKUP(C269,'Задание 2 (Справочник)'!$B$16:$C$18,2,FALSE),0)</f>
        <v>235</v>
      </c>
      <c r="I269" s="43">
        <f t="shared" si="2"/>
        <v>470.29</v>
      </c>
    </row>
    <row r="270" ht="13.5" customHeight="1">
      <c r="A270" s="1" t="s">
        <v>376</v>
      </c>
      <c r="B270" s="1" t="s">
        <v>76</v>
      </c>
      <c r="C270" s="41" t="str">
        <f t="shared" si="1"/>
        <v>Маленький</v>
      </c>
      <c r="D270" s="42">
        <f>VLOOKUP(A270,'Задание 2 (Известные данные)'!$A$2:$D$501,2,FALSE)</f>
        <v>98765</v>
      </c>
      <c r="E270" s="43">
        <f>ROUND(D270*VLOOKUP(B270,'Задание 2 (Справочник)'!$B$8:$D$12,2,FALSE)/(1-VLOOKUP(B270,'Задание 2 (Справочник)'!$B$8:$D$12,3,FALSE)),0)</f>
        <v>98765</v>
      </c>
      <c r="F270" s="43">
        <f>VLOOKUP(A270,'Задание 2 (Известные данные)'!$A$2:$D$501,3,FALSE)</f>
        <v>69136</v>
      </c>
      <c r="G270" s="37">
        <f>F270*VLOOKUP(A270,'Задание 2 (Известные данные)'!$A$2:$D$501,4,FALSE)/1000</f>
        <v>6429.648</v>
      </c>
      <c r="H270" s="43">
        <f>ROUND(E270*VLOOKUP(C270,'Задание 2 (Справочник)'!$B$16:$C$18,2,FALSE),0)</f>
        <v>988</v>
      </c>
      <c r="I270" s="43">
        <f t="shared" si="2"/>
        <v>3224.7</v>
      </c>
    </row>
    <row r="271" ht="13.5" customHeight="1">
      <c r="A271" s="1" t="s">
        <v>377</v>
      </c>
      <c r="B271" s="1" t="s">
        <v>76</v>
      </c>
      <c r="C271" s="41" t="str">
        <f t="shared" si="1"/>
        <v>Маленький</v>
      </c>
      <c r="D271" s="42">
        <f>VLOOKUP(A271,'Задание 2 (Известные данные)'!$A$2:$D$501,2,FALSE)</f>
        <v>34567</v>
      </c>
      <c r="E271" s="43">
        <f>ROUND(D271*VLOOKUP(B271,'Задание 2 (Справочник)'!$B$8:$D$12,2,FALSE)/(1-VLOOKUP(B271,'Задание 2 (Справочник)'!$B$8:$D$12,3,FALSE)),0)</f>
        <v>34567</v>
      </c>
      <c r="F271" s="43">
        <f>VLOOKUP(A271,'Задание 2 (Известные данные)'!$A$2:$D$501,3,FALSE)</f>
        <v>24197</v>
      </c>
      <c r="G271" s="37">
        <f>F271*VLOOKUP(A271,'Задание 2 (Известные данные)'!$A$2:$D$501,4,FALSE)/1000</f>
        <v>1669.593</v>
      </c>
      <c r="H271" s="43">
        <f>ROUND(E271*VLOOKUP(C271,'Задание 2 (Справочник)'!$B$16:$C$18,2,FALSE),0)</f>
        <v>346</v>
      </c>
      <c r="I271" s="43">
        <f t="shared" si="2"/>
        <v>838.26</v>
      </c>
    </row>
    <row r="272" ht="13.5" customHeight="1">
      <c r="A272" s="1" t="s">
        <v>378</v>
      </c>
      <c r="B272" s="1" t="s">
        <v>76</v>
      </c>
      <c r="C272" s="41" t="str">
        <f t="shared" si="1"/>
        <v>Маленький</v>
      </c>
      <c r="D272" s="42">
        <f>VLOOKUP(A272,'Задание 2 (Известные данные)'!$A$2:$D$501,2,FALSE)</f>
        <v>65432</v>
      </c>
      <c r="E272" s="43">
        <f>ROUND(D272*VLOOKUP(B272,'Задание 2 (Справочник)'!$B$8:$D$12,2,FALSE)/(1-VLOOKUP(B272,'Задание 2 (Справочник)'!$B$8:$D$12,3,FALSE)),0)</f>
        <v>65432</v>
      </c>
      <c r="F272" s="43">
        <f>VLOOKUP(A272,'Задание 2 (Известные данные)'!$A$2:$D$501,3,FALSE)</f>
        <v>45802</v>
      </c>
      <c r="G272" s="37">
        <f>F272*VLOOKUP(A272,'Задание 2 (Известные данные)'!$A$2:$D$501,4,FALSE)/1000</f>
        <v>3480.952</v>
      </c>
      <c r="H272" s="43">
        <f>ROUND(E272*VLOOKUP(C272,'Задание 2 (Справочник)'!$B$16:$C$18,2,FALSE),0)</f>
        <v>654</v>
      </c>
      <c r="I272" s="43">
        <f t="shared" si="2"/>
        <v>1747.02</v>
      </c>
    </row>
    <row r="273" ht="13.5" customHeight="1">
      <c r="A273" s="1" t="s">
        <v>379</v>
      </c>
      <c r="B273" s="1" t="s">
        <v>76</v>
      </c>
      <c r="C273" s="41" t="str">
        <f t="shared" si="1"/>
        <v>Маленький</v>
      </c>
      <c r="D273" s="42">
        <f>VLOOKUP(A273,'Задание 2 (Известные данные)'!$A$2:$D$501,2,FALSE)</f>
        <v>12345</v>
      </c>
      <c r="E273" s="43">
        <f>ROUND(D273*VLOOKUP(B273,'Задание 2 (Справочник)'!$B$8:$D$12,2,FALSE)/(1-VLOOKUP(B273,'Задание 2 (Справочник)'!$B$8:$D$12,3,FALSE)),0)</f>
        <v>12345</v>
      </c>
      <c r="F273" s="43">
        <f>VLOOKUP(A273,'Задание 2 (Известные данные)'!$A$2:$D$501,3,FALSE)</f>
        <v>8642</v>
      </c>
      <c r="G273" s="37">
        <f>F273*VLOOKUP(A273,'Задание 2 (Известные данные)'!$A$2:$D$501,4,FALSE)/1000</f>
        <v>449.384</v>
      </c>
      <c r="H273" s="43">
        <f>ROUND(E273*VLOOKUP(C273,'Задание 2 (Справочник)'!$B$16:$C$18,2,FALSE),0)</f>
        <v>123</v>
      </c>
      <c r="I273" s="43">
        <f t="shared" si="2"/>
        <v>225.92</v>
      </c>
    </row>
    <row r="274" ht="13.5" customHeight="1">
      <c r="A274" s="1" t="s">
        <v>380</v>
      </c>
      <c r="B274" s="1" t="s">
        <v>76</v>
      </c>
      <c r="C274" s="41" t="str">
        <f t="shared" si="1"/>
        <v>Маленький</v>
      </c>
      <c r="D274" s="42">
        <f>VLOOKUP(A274,'Задание 2 (Известные данные)'!$A$2:$D$501,2,FALSE)</f>
        <v>76543</v>
      </c>
      <c r="E274" s="43">
        <f>ROUND(D274*VLOOKUP(B274,'Задание 2 (Справочник)'!$B$8:$D$12,2,FALSE)/(1-VLOOKUP(B274,'Задание 2 (Справочник)'!$B$8:$D$12,3,FALSE)),0)</f>
        <v>76543</v>
      </c>
      <c r="F274" s="43">
        <f>VLOOKUP(A274,'Задание 2 (Известные данные)'!$A$2:$D$501,3,FALSE)</f>
        <v>53580</v>
      </c>
      <c r="G274" s="37">
        <f>F274*VLOOKUP(A274,'Задание 2 (Известные данные)'!$A$2:$D$501,4,FALSE)/1000</f>
        <v>4554.3</v>
      </c>
      <c r="H274" s="43">
        <f>ROUND(E274*VLOOKUP(C274,'Задание 2 (Справочник)'!$B$16:$C$18,2,FALSE),0)</f>
        <v>765</v>
      </c>
      <c r="I274" s="43">
        <f t="shared" si="2"/>
        <v>2284.8</v>
      </c>
    </row>
    <row r="275" ht="13.5" customHeight="1">
      <c r="A275" s="1" t="s">
        <v>381</v>
      </c>
      <c r="B275" s="1" t="s">
        <v>76</v>
      </c>
      <c r="C275" s="41" t="str">
        <f t="shared" si="1"/>
        <v>Маленький</v>
      </c>
      <c r="D275" s="42">
        <f>VLOOKUP(A275,'Задание 2 (Известные данные)'!$A$2:$D$501,2,FALSE)</f>
        <v>43210</v>
      </c>
      <c r="E275" s="43">
        <f>ROUND(D275*VLOOKUP(B275,'Задание 2 (Справочник)'!$B$8:$D$12,2,FALSE)/(1-VLOOKUP(B275,'Задание 2 (Справочник)'!$B$8:$D$12,3,FALSE)),0)</f>
        <v>43210</v>
      </c>
      <c r="F275" s="43">
        <f>VLOOKUP(A275,'Задание 2 (Известные данные)'!$A$2:$D$501,3,FALSE)</f>
        <v>30247</v>
      </c>
      <c r="G275" s="37">
        <f>F275*VLOOKUP(A275,'Задание 2 (Известные данные)'!$A$2:$D$501,4,FALSE)/1000</f>
        <v>1935.808</v>
      </c>
      <c r="H275" s="43">
        <f>ROUND(E275*VLOOKUP(C275,'Задание 2 (Справочник)'!$B$16:$C$18,2,FALSE),0)</f>
        <v>432</v>
      </c>
      <c r="I275" s="43">
        <f t="shared" si="2"/>
        <v>972.22</v>
      </c>
    </row>
    <row r="276" ht="13.5" customHeight="1">
      <c r="A276" s="1" t="s">
        <v>382</v>
      </c>
      <c r="B276" s="1" t="s">
        <v>76</v>
      </c>
      <c r="C276" s="41" t="str">
        <f t="shared" si="1"/>
        <v>Маленький</v>
      </c>
      <c r="D276" s="42">
        <f>VLOOKUP(A276,'Задание 2 (Известные данные)'!$A$2:$D$501,2,FALSE)</f>
        <v>56789</v>
      </c>
      <c r="E276" s="43">
        <f>ROUND(D276*VLOOKUP(B276,'Задание 2 (Справочник)'!$B$8:$D$12,2,FALSE)/(1-VLOOKUP(B276,'Задание 2 (Справочник)'!$B$8:$D$12,3,FALSE)),0)</f>
        <v>56789</v>
      </c>
      <c r="F276" s="43">
        <f>VLOOKUP(A276,'Задание 2 (Известные данные)'!$A$2:$D$501,3,FALSE)</f>
        <v>39752</v>
      </c>
      <c r="G276" s="37">
        <f>F276*VLOOKUP(A276,'Задание 2 (Известные данные)'!$A$2:$D$501,4,FALSE)/1000</f>
        <v>2901.896</v>
      </c>
      <c r="H276" s="43">
        <f>ROUND(E276*VLOOKUP(C276,'Задание 2 (Справочник)'!$B$16:$C$18,2,FALSE),0)</f>
        <v>568</v>
      </c>
      <c r="I276" s="43">
        <f t="shared" si="2"/>
        <v>1456.63</v>
      </c>
    </row>
    <row r="277" ht="13.5" customHeight="1">
      <c r="A277" s="1" t="s">
        <v>383</v>
      </c>
      <c r="B277" s="1" t="s">
        <v>76</v>
      </c>
      <c r="C277" s="41" t="str">
        <f t="shared" si="1"/>
        <v>Маленький</v>
      </c>
      <c r="D277" s="42">
        <f>VLOOKUP(A277,'Задание 2 (Известные данные)'!$A$2:$D$501,2,FALSE)</f>
        <v>87654</v>
      </c>
      <c r="E277" s="43">
        <f>ROUND(D277*VLOOKUP(B277,'Задание 2 (Справочник)'!$B$8:$D$12,2,FALSE)/(1-VLOOKUP(B277,'Задание 2 (Справочник)'!$B$8:$D$12,3,FALSE)),0)</f>
        <v>87654</v>
      </c>
      <c r="F277" s="43">
        <f>VLOOKUP(A277,'Задание 2 (Известные данные)'!$A$2:$D$501,3,FALSE)</f>
        <v>61358</v>
      </c>
      <c r="G277" s="37">
        <f>F277*VLOOKUP(A277,'Задание 2 (Известные данные)'!$A$2:$D$501,4,FALSE)/1000</f>
        <v>5460.862</v>
      </c>
      <c r="H277" s="43">
        <f>ROUND(E277*VLOOKUP(C277,'Задание 2 (Справочник)'!$B$16:$C$18,2,FALSE),0)</f>
        <v>877</v>
      </c>
      <c r="I277" s="43">
        <f t="shared" si="2"/>
        <v>2739.2</v>
      </c>
    </row>
    <row r="278" ht="13.5" customHeight="1">
      <c r="A278" s="1" t="s">
        <v>384</v>
      </c>
      <c r="B278" s="1" t="s">
        <v>76</v>
      </c>
      <c r="C278" s="41" t="str">
        <f t="shared" si="1"/>
        <v>Маленький</v>
      </c>
      <c r="D278" s="42">
        <f>VLOOKUP(A278,'Задание 2 (Известные данные)'!$A$2:$D$501,2,FALSE)</f>
        <v>23456</v>
      </c>
      <c r="E278" s="43">
        <f>ROUND(D278*VLOOKUP(B278,'Задание 2 (Справочник)'!$B$8:$D$12,2,FALSE)/(1-VLOOKUP(B278,'Задание 2 (Справочник)'!$B$8:$D$12,3,FALSE)),0)</f>
        <v>23456</v>
      </c>
      <c r="F278" s="43">
        <f>VLOOKUP(A278,'Задание 2 (Известные данные)'!$A$2:$D$501,3,FALSE)</f>
        <v>16419</v>
      </c>
      <c r="G278" s="37">
        <f>F278*VLOOKUP(A278,'Задание 2 (Известные данные)'!$A$2:$D$501,4,FALSE)/1000</f>
        <v>919.464</v>
      </c>
      <c r="H278" s="43">
        <f>ROUND(E278*VLOOKUP(C278,'Задание 2 (Справочник)'!$B$16:$C$18,2,FALSE),0)</f>
        <v>235</v>
      </c>
      <c r="I278" s="43">
        <f t="shared" si="2"/>
        <v>462.08</v>
      </c>
    </row>
    <row r="279" ht="13.5" customHeight="1">
      <c r="A279" s="1" t="s">
        <v>385</v>
      </c>
      <c r="B279" s="1" t="s">
        <v>76</v>
      </c>
      <c r="C279" s="41" t="str">
        <f t="shared" si="1"/>
        <v>Маленький</v>
      </c>
      <c r="D279" s="42">
        <f>VLOOKUP(A279,'Задание 2 (Известные данные)'!$A$2:$D$501,2,FALSE)</f>
        <v>98765</v>
      </c>
      <c r="E279" s="43">
        <f>ROUND(D279*VLOOKUP(B279,'Задание 2 (Справочник)'!$B$8:$D$12,2,FALSE)/(1-VLOOKUP(B279,'Задание 2 (Справочник)'!$B$8:$D$12,3,FALSE)),0)</f>
        <v>98765</v>
      </c>
      <c r="F279" s="43">
        <f>VLOOKUP(A279,'Задание 2 (Известные данные)'!$A$2:$D$501,3,FALSE)</f>
        <v>69136</v>
      </c>
      <c r="G279" s="37">
        <f>F279*VLOOKUP(A279,'Задание 2 (Известные данные)'!$A$2:$D$501,4,FALSE)/1000</f>
        <v>6498.784</v>
      </c>
      <c r="H279" s="43">
        <f>ROUND(E279*VLOOKUP(C279,'Задание 2 (Справочник)'!$B$16:$C$18,2,FALSE),0)</f>
        <v>988</v>
      </c>
      <c r="I279" s="43">
        <f t="shared" si="2"/>
        <v>3259.27</v>
      </c>
    </row>
    <row r="280" ht="13.5" customHeight="1">
      <c r="A280" s="1" t="s">
        <v>386</v>
      </c>
      <c r="B280" s="1" t="s">
        <v>76</v>
      </c>
      <c r="C280" s="41" t="str">
        <f t="shared" si="1"/>
        <v>Маленький</v>
      </c>
      <c r="D280" s="42">
        <f>VLOOKUP(A280,'Задание 2 (Известные данные)'!$A$2:$D$501,2,FALSE)</f>
        <v>34567</v>
      </c>
      <c r="E280" s="43">
        <f>ROUND(D280*VLOOKUP(B280,'Задание 2 (Справочник)'!$B$8:$D$12,2,FALSE)/(1-VLOOKUP(B280,'Задание 2 (Справочник)'!$B$8:$D$12,3,FALSE)),0)</f>
        <v>34567</v>
      </c>
      <c r="F280" s="43">
        <f>VLOOKUP(A280,'Задание 2 (Известные данные)'!$A$2:$D$501,3,FALSE)</f>
        <v>24197</v>
      </c>
      <c r="G280" s="37">
        <f>F280*VLOOKUP(A280,'Задание 2 (Известные данные)'!$A$2:$D$501,4,FALSE)/1000</f>
        <v>1597.002</v>
      </c>
      <c r="H280" s="43">
        <f>ROUND(E280*VLOOKUP(C280,'Задание 2 (Справочник)'!$B$16:$C$18,2,FALSE),0)</f>
        <v>346</v>
      </c>
      <c r="I280" s="43">
        <f t="shared" si="2"/>
        <v>801.96</v>
      </c>
    </row>
    <row r="281" ht="13.5" customHeight="1">
      <c r="A281" s="1" t="s">
        <v>387</v>
      </c>
      <c r="B281" s="1" t="s">
        <v>76</v>
      </c>
      <c r="C281" s="41" t="str">
        <f t="shared" si="1"/>
        <v>Маленький</v>
      </c>
      <c r="D281" s="42">
        <f>VLOOKUP(A281,'Задание 2 (Известные данные)'!$A$2:$D$501,2,FALSE)</f>
        <v>65432</v>
      </c>
      <c r="E281" s="43">
        <f>ROUND(D281*VLOOKUP(B281,'Задание 2 (Справочник)'!$B$8:$D$12,2,FALSE)/(1-VLOOKUP(B281,'Задание 2 (Справочник)'!$B$8:$D$12,3,FALSE)),0)</f>
        <v>65432</v>
      </c>
      <c r="F281" s="43">
        <f>VLOOKUP(A281,'Задание 2 (Известные данные)'!$A$2:$D$501,3,FALSE)</f>
        <v>45802</v>
      </c>
      <c r="G281" s="37">
        <f>F281*VLOOKUP(A281,'Задание 2 (Известные данные)'!$A$2:$D$501,4,FALSE)/1000</f>
        <v>3618.358</v>
      </c>
      <c r="H281" s="43">
        <f>ROUND(E281*VLOOKUP(C281,'Задание 2 (Справочник)'!$B$16:$C$18,2,FALSE),0)</f>
        <v>654</v>
      </c>
      <c r="I281" s="43">
        <f t="shared" si="2"/>
        <v>1815.72</v>
      </c>
    </row>
    <row r="282" ht="13.5" customHeight="1">
      <c r="A282" s="1" t="s">
        <v>388</v>
      </c>
      <c r="B282" s="1" t="s">
        <v>76</v>
      </c>
      <c r="C282" s="41" t="str">
        <f t="shared" si="1"/>
        <v>Маленький</v>
      </c>
      <c r="D282" s="42">
        <f>VLOOKUP(A282,'Задание 2 (Известные данные)'!$A$2:$D$501,2,FALSE)</f>
        <v>12345</v>
      </c>
      <c r="E282" s="43">
        <f>ROUND(D282*VLOOKUP(B282,'Задание 2 (Справочник)'!$B$8:$D$12,2,FALSE)/(1-VLOOKUP(B282,'Задание 2 (Справочник)'!$B$8:$D$12,3,FALSE)),0)</f>
        <v>12345</v>
      </c>
      <c r="F282" s="43">
        <f>VLOOKUP(A282,'Задание 2 (Известные данные)'!$A$2:$D$501,3,FALSE)</f>
        <v>8642</v>
      </c>
      <c r="G282" s="37">
        <f>F282*VLOOKUP(A282,'Задание 2 (Известные данные)'!$A$2:$D$501,4,FALSE)/1000</f>
        <v>440.742</v>
      </c>
      <c r="H282" s="43">
        <f>ROUND(E282*VLOOKUP(C282,'Задание 2 (Справочник)'!$B$16:$C$18,2,FALSE),0)</f>
        <v>123</v>
      </c>
      <c r="I282" s="43">
        <f t="shared" si="2"/>
        <v>221.6</v>
      </c>
    </row>
    <row r="283" ht="13.5" customHeight="1">
      <c r="A283" s="1" t="s">
        <v>389</v>
      </c>
      <c r="B283" s="1" t="s">
        <v>77</v>
      </c>
      <c r="C283" s="41" t="str">
        <f t="shared" si="1"/>
        <v>Большой</v>
      </c>
      <c r="D283" s="42">
        <f>VLOOKUP(A283,'Задание 2 (Известные данные)'!$A$2:$D$501,2,FALSE)</f>
        <v>2876543</v>
      </c>
      <c r="E283" s="43">
        <f>ROUND(D283*VLOOKUP(B283,'Задание 2 (Справочник)'!$B$8:$D$12,2,FALSE)/(1-VLOOKUP(B283,'Задание 2 (Справочник)'!$B$8:$D$12,3,FALSE)),0)</f>
        <v>2157407</v>
      </c>
      <c r="F283" s="43">
        <f>VLOOKUP(A283,'Задание 2 (Известные данные)'!$A$2:$D$501,3,FALSE)</f>
        <v>1840987</v>
      </c>
      <c r="G283" s="37">
        <f>F283*VLOOKUP(A283,'Задание 2 (Известные данные)'!$A$2:$D$501,4,FALSE)/1000</f>
        <v>191462.648</v>
      </c>
      <c r="H283" s="43">
        <f>ROUND(E283*VLOOKUP(C283,'Задание 2 (Справочник)'!$B$16:$C$18,2,FALSE),0)</f>
        <v>10787</v>
      </c>
      <c r="I283" s="43">
        <f t="shared" si="2"/>
        <v>95839.19</v>
      </c>
    </row>
    <row r="284" ht="13.5" customHeight="1">
      <c r="A284" s="1" t="s">
        <v>390</v>
      </c>
      <c r="B284" s="1" t="s">
        <v>77</v>
      </c>
      <c r="C284" s="41" t="str">
        <f t="shared" si="1"/>
        <v>Большой</v>
      </c>
      <c r="D284" s="42">
        <f>VLOOKUP(A284,'Задание 2 (Известные данные)'!$A$2:$D$501,2,FALSE)</f>
        <v>3987612</v>
      </c>
      <c r="E284" s="43">
        <f>ROUND(D284*VLOOKUP(B284,'Задание 2 (Справочник)'!$B$8:$D$12,2,FALSE)/(1-VLOOKUP(B284,'Задание 2 (Справочник)'!$B$8:$D$12,3,FALSE)),0)</f>
        <v>2990709</v>
      </c>
      <c r="F284" s="43">
        <f>VLOOKUP(A284,'Задание 2 (Известные данные)'!$A$2:$D$501,3,FALSE)</f>
        <v>2552072</v>
      </c>
      <c r="G284" s="37">
        <f>F284*VLOOKUP(A284,'Задание 2 (Известные данные)'!$A$2:$D$501,4,FALSE)/1000</f>
        <v>278175.848</v>
      </c>
      <c r="H284" s="43">
        <f>ROUND(E284*VLOOKUP(C284,'Задание 2 (Справочник)'!$B$16:$C$18,2,FALSE),0)</f>
        <v>14954</v>
      </c>
      <c r="I284" s="43">
        <f t="shared" si="2"/>
        <v>139237.46</v>
      </c>
    </row>
    <row r="285" ht="13.5" customHeight="1">
      <c r="A285" s="1" t="s">
        <v>391</v>
      </c>
      <c r="B285" s="1" t="s">
        <v>77</v>
      </c>
      <c r="C285" s="41" t="str">
        <f t="shared" si="1"/>
        <v>Большой</v>
      </c>
      <c r="D285" s="42">
        <f>VLOOKUP(A285,'Задание 2 (Известные данные)'!$A$2:$D$501,2,FALSE)</f>
        <v>1765432</v>
      </c>
      <c r="E285" s="43">
        <f>ROUND(D285*VLOOKUP(B285,'Задание 2 (Справочник)'!$B$8:$D$12,2,FALSE)/(1-VLOOKUP(B285,'Задание 2 (Справочник)'!$B$8:$D$12,3,FALSE)),0)</f>
        <v>1324074</v>
      </c>
      <c r="F285" s="43">
        <f>VLOOKUP(A285,'Задание 2 (Известные данные)'!$A$2:$D$501,3,FALSE)</f>
        <v>1129877</v>
      </c>
      <c r="G285" s="37">
        <f>F285*VLOOKUP(A285,'Задание 2 (Известные данные)'!$A$2:$D$501,4,FALSE)/1000</f>
        <v>110727.946</v>
      </c>
      <c r="H285" s="43">
        <f>ROUND(E285*VLOOKUP(C285,'Задание 2 (Справочник)'!$B$16:$C$18,2,FALSE),0)</f>
        <v>6620</v>
      </c>
      <c r="I285" s="43">
        <f t="shared" si="2"/>
        <v>55430.17</v>
      </c>
    </row>
    <row r="286" ht="13.5" customHeight="1">
      <c r="A286" s="1" t="s">
        <v>392</v>
      </c>
      <c r="B286" s="1" t="s">
        <v>77</v>
      </c>
      <c r="C286" s="41" t="str">
        <f t="shared" si="1"/>
        <v>Большой</v>
      </c>
      <c r="D286" s="42">
        <f>VLOOKUP(A286,'Задание 2 (Известные данные)'!$A$2:$D$501,2,FALSE)</f>
        <v>5123987</v>
      </c>
      <c r="E286" s="43">
        <f>ROUND(D286*VLOOKUP(B286,'Задание 2 (Справочник)'!$B$8:$D$12,2,FALSE)/(1-VLOOKUP(B286,'Задание 2 (Справочник)'!$B$8:$D$12,3,FALSE)),0)</f>
        <v>3842990</v>
      </c>
      <c r="F286" s="43">
        <f>VLOOKUP(A286,'Задание 2 (Известные данные)'!$A$2:$D$501,3,FALSE)</f>
        <v>3279352</v>
      </c>
      <c r="G286" s="37">
        <f>F286*VLOOKUP(A286,'Задание 2 (Известные данные)'!$A$2:$D$501,4,FALSE)/1000</f>
        <v>350890.664</v>
      </c>
      <c r="H286" s="43">
        <f>ROUND(E286*VLOOKUP(C286,'Задание 2 (Справочник)'!$B$16:$C$18,2,FALSE),0)</f>
        <v>19215</v>
      </c>
      <c r="I286" s="43">
        <f t="shared" si="2"/>
        <v>175637.48</v>
      </c>
    </row>
    <row r="287" ht="13.5" customHeight="1">
      <c r="A287" s="1" t="s">
        <v>393</v>
      </c>
      <c r="B287" s="1" t="s">
        <v>77</v>
      </c>
      <c r="C287" s="41" t="str">
        <f t="shared" si="1"/>
        <v>Большой</v>
      </c>
      <c r="D287" s="42">
        <f>VLOOKUP(A287,'Задание 2 (Известные данные)'!$A$2:$D$501,2,FALSE)</f>
        <v>2345678</v>
      </c>
      <c r="E287" s="43">
        <f>ROUND(D287*VLOOKUP(B287,'Задание 2 (Справочник)'!$B$8:$D$12,2,FALSE)/(1-VLOOKUP(B287,'Задание 2 (Справочник)'!$B$8:$D$12,3,FALSE)),0)</f>
        <v>1759259</v>
      </c>
      <c r="F287" s="43">
        <f>VLOOKUP(A287,'Задание 2 (Известные данные)'!$A$2:$D$501,3,FALSE)</f>
        <v>1501234</v>
      </c>
      <c r="G287" s="37">
        <f>F287*VLOOKUP(A287,'Задание 2 (Известные данные)'!$A$2:$D$501,4,FALSE)/1000</f>
        <v>153125.868</v>
      </c>
      <c r="H287" s="43">
        <f>ROUND(E287*VLOOKUP(C287,'Задание 2 (Справочник)'!$B$16:$C$18,2,FALSE),0)</f>
        <v>8796</v>
      </c>
      <c r="I287" s="43">
        <f t="shared" si="2"/>
        <v>76650.89</v>
      </c>
    </row>
    <row r="288" ht="13.5" customHeight="1">
      <c r="A288" s="1" t="s">
        <v>394</v>
      </c>
      <c r="B288" s="1" t="s">
        <v>77</v>
      </c>
      <c r="C288" s="41" t="str">
        <f t="shared" si="1"/>
        <v>Большой</v>
      </c>
      <c r="D288" s="42">
        <f>VLOOKUP(A288,'Задание 2 (Известные данные)'!$A$2:$D$501,2,FALSE)</f>
        <v>3456789</v>
      </c>
      <c r="E288" s="43">
        <f>ROUND(D288*VLOOKUP(B288,'Задание 2 (Справочник)'!$B$8:$D$12,2,FALSE)/(1-VLOOKUP(B288,'Задание 2 (Справочник)'!$B$8:$D$12,3,FALSE)),0)</f>
        <v>2592592</v>
      </c>
      <c r="F288" s="43">
        <f>VLOOKUP(A288,'Задание 2 (Известные данные)'!$A$2:$D$501,3,FALSE)</f>
        <v>2212345</v>
      </c>
      <c r="G288" s="37">
        <f>F288*VLOOKUP(A288,'Задание 2 (Известные данные)'!$A$2:$D$501,4,FALSE)/1000</f>
        <v>234508.57</v>
      </c>
      <c r="H288" s="43">
        <f>ROUND(E288*VLOOKUP(C288,'Задание 2 (Справочник)'!$B$16:$C$18,2,FALSE),0)</f>
        <v>12963</v>
      </c>
      <c r="I288" s="43">
        <f t="shared" si="2"/>
        <v>117383.92</v>
      </c>
    </row>
    <row r="289" ht="13.5" customHeight="1">
      <c r="A289" s="1" t="s">
        <v>395</v>
      </c>
      <c r="B289" s="1" t="s">
        <v>77</v>
      </c>
      <c r="C289" s="41" t="str">
        <f t="shared" si="1"/>
        <v>Большой</v>
      </c>
      <c r="D289" s="42">
        <f>VLOOKUP(A289,'Задание 2 (Известные данные)'!$A$2:$D$501,2,FALSE)</f>
        <v>4234567</v>
      </c>
      <c r="E289" s="43">
        <f>ROUND(D289*VLOOKUP(B289,'Задание 2 (Справочник)'!$B$8:$D$12,2,FALSE)/(1-VLOOKUP(B289,'Задание 2 (Справочник)'!$B$8:$D$12,3,FALSE)),0)</f>
        <v>3175925</v>
      </c>
      <c r="F289" s="43">
        <f>VLOOKUP(A289,'Задание 2 (Известные данные)'!$A$2:$D$501,3,FALSE)</f>
        <v>2710123</v>
      </c>
      <c r="G289" s="37">
        <f>F289*VLOOKUP(A289,'Задание 2 (Известные данные)'!$A$2:$D$501,4,FALSE)/1000</f>
        <v>298113.53</v>
      </c>
      <c r="H289" s="43">
        <f>ROUND(E289*VLOOKUP(C289,'Задание 2 (Справочник)'!$B$16:$C$18,2,FALSE),0)</f>
        <v>15880</v>
      </c>
      <c r="I289" s="43">
        <f t="shared" si="2"/>
        <v>149215.57</v>
      </c>
    </row>
    <row r="290" ht="13.5" customHeight="1">
      <c r="A290" s="1" t="s">
        <v>396</v>
      </c>
      <c r="B290" s="1" t="s">
        <v>77</v>
      </c>
      <c r="C290" s="41" t="str">
        <f t="shared" si="1"/>
        <v>Большой</v>
      </c>
      <c r="D290" s="42">
        <f>VLOOKUP(A290,'Задание 2 (Известные данные)'!$A$2:$D$501,2,FALSE)</f>
        <v>1987654</v>
      </c>
      <c r="E290" s="43">
        <f>ROUND(D290*VLOOKUP(B290,'Задание 2 (Справочник)'!$B$8:$D$12,2,FALSE)/(1-VLOOKUP(B290,'Задание 2 (Справочник)'!$B$8:$D$12,3,FALSE)),0)</f>
        <v>1490741</v>
      </c>
      <c r="F290" s="43">
        <f>VLOOKUP(A290,'Задание 2 (Известные данные)'!$A$2:$D$501,3,FALSE)</f>
        <v>1272098</v>
      </c>
      <c r="G290" s="37">
        <f>F290*VLOOKUP(A290,'Задание 2 (Известные данные)'!$A$2:$D$501,4,FALSE)/1000</f>
        <v>123393.506</v>
      </c>
      <c r="H290" s="43">
        <f>ROUND(E290*VLOOKUP(C290,'Задание 2 (Справочник)'!$B$16:$C$18,2,FALSE),0)</f>
        <v>7454</v>
      </c>
      <c r="I290" s="43">
        <f t="shared" si="2"/>
        <v>61771.29</v>
      </c>
    </row>
    <row r="291" ht="13.5" customHeight="1">
      <c r="A291" s="1" t="s">
        <v>397</v>
      </c>
      <c r="B291" s="1" t="s">
        <v>77</v>
      </c>
      <c r="C291" s="41" t="str">
        <f t="shared" si="1"/>
        <v>Большой</v>
      </c>
      <c r="D291" s="42">
        <f>VLOOKUP(A291,'Задание 2 (Известные данные)'!$A$2:$D$501,2,FALSE)</f>
        <v>3678901</v>
      </c>
      <c r="E291" s="43">
        <f>ROUND(D291*VLOOKUP(B291,'Задание 2 (Справочник)'!$B$8:$D$12,2,FALSE)/(1-VLOOKUP(B291,'Задание 2 (Справочник)'!$B$8:$D$12,3,FALSE)),0)</f>
        <v>2759176</v>
      </c>
      <c r="F291" s="43">
        <f>VLOOKUP(A291,'Задание 2 (Известные данные)'!$A$2:$D$501,3,FALSE)</f>
        <v>2354497</v>
      </c>
      <c r="G291" s="37">
        <f>F291*VLOOKUP(A291,'Задание 2 (Известные данные)'!$A$2:$D$501,4,FALSE)/1000</f>
        <v>247222.185</v>
      </c>
      <c r="H291" s="43">
        <f>ROUND(E291*VLOOKUP(C291,'Задание 2 (Справочник)'!$B$16:$C$18,2,FALSE),0)</f>
        <v>13796</v>
      </c>
      <c r="I291" s="43">
        <f t="shared" si="2"/>
        <v>123749.05</v>
      </c>
    </row>
    <row r="292" ht="13.5" customHeight="1">
      <c r="A292" s="1" t="s">
        <v>398</v>
      </c>
      <c r="B292" s="1" t="s">
        <v>77</v>
      </c>
      <c r="C292" s="41" t="str">
        <f t="shared" si="1"/>
        <v>Большой</v>
      </c>
      <c r="D292" s="42">
        <f>VLOOKUP(A292,'Задание 2 (Известные данные)'!$A$2:$D$501,2,FALSE)</f>
        <v>2765432</v>
      </c>
      <c r="E292" s="43">
        <f>ROUND(D292*VLOOKUP(B292,'Задание 2 (Справочник)'!$B$8:$D$12,2,FALSE)/(1-VLOOKUP(B292,'Задание 2 (Справочник)'!$B$8:$D$12,3,FALSE)),0)</f>
        <v>2074074</v>
      </c>
      <c r="F292" s="43">
        <f>VLOOKUP(A292,'Задание 2 (Известные данные)'!$A$2:$D$501,3,FALSE)</f>
        <v>1769877</v>
      </c>
      <c r="G292" s="37">
        <f>F292*VLOOKUP(A292,'Задание 2 (Известные данные)'!$A$2:$D$501,4,FALSE)/1000</f>
        <v>178757.577</v>
      </c>
      <c r="H292" s="43">
        <f>ROUND(E292*VLOOKUP(C292,'Задание 2 (Справочник)'!$B$16:$C$18,2,FALSE),0)</f>
        <v>10370</v>
      </c>
      <c r="I292" s="43">
        <f t="shared" si="2"/>
        <v>89482.49</v>
      </c>
    </row>
    <row r="293" ht="13.5" customHeight="1">
      <c r="A293" s="1" t="s">
        <v>399</v>
      </c>
      <c r="B293" s="1" t="s">
        <v>77</v>
      </c>
      <c r="C293" s="41" t="str">
        <f t="shared" si="1"/>
        <v>Большой</v>
      </c>
      <c r="D293" s="42">
        <f>VLOOKUP(A293,'Задание 2 (Известные данные)'!$A$2:$D$501,2,FALSE)</f>
        <v>4509876</v>
      </c>
      <c r="E293" s="43">
        <f>ROUND(D293*VLOOKUP(B293,'Задание 2 (Справочник)'!$B$8:$D$12,2,FALSE)/(1-VLOOKUP(B293,'Задание 2 (Справочник)'!$B$8:$D$12,3,FALSE)),0)</f>
        <v>3382407</v>
      </c>
      <c r="F293" s="43">
        <f>VLOOKUP(A293,'Задание 2 (Известные данные)'!$A$2:$D$501,3,FALSE)</f>
        <v>2886321</v>
      </c>
      <c r="G293" s="37">
        <f>F293*VLOOKUP(A293,'Задание 2 (Известные данные)'!$A$2:$D$501,4,FALSE)/1000</f>
        <v>311722.668</v>
      </c>
      <c r="H293" s="43">
        <f>ROUND(E293*VLOOKUP(C293,'Задание 2 (Справочник)'!$B$16:$C$18,2,FALSE),0)</f>
        <v>16912</v>
      </c>
      <c r="I293" s="43">
        <f t="shared" si="2"/>
        <v>156030.45</v>
      </c>
    </row>
    <row r="294" ht="13.5" customHeight="1">
      <c r="A294" s="1" t="s">
        <v>400</v>
      </c>
      <c r="B294" s="1" t="s">
        <v>77</v>
      </c>
      <c r="C294" s="41" t="str">
        <f t="shared" si="1"/>
        <v>Большой</v>
      </c>
      <c r="D294" s="42">
        <f>VLOOKUP(A294,'Задание 2 (Известные данные)'!$A$2:$D$501,2,FALSE)</f>
        <v>3210987</v>
      </c>
      <c r="E294" s="43">
        <f>ROUND(D294*VLOOKUP(B294,'Задание 2 (Справочник)'!$B$8:$D$12,2,FALSE)/(1-VLOOKUP(B294,'Задание 2 (Справочник)'!$B$8:$D$12,3,FALSE)),0)</f>
        <v>2408240</v>
      </c>
      <c r="F294" s="43">
        <f>VLOOKUP(A294,'Задание 2 (Известные данные)'!$A$2:$D$501,3,FALSE)</f>
        <v>2055032</v>
      </c>
      <c r="G294" s="37">
        <f>F294*VLOOKUP(A294,'Задание 2 (Известные данные)'!$A$2:$D$501,4,FALSE)/1000</f>
        <v>211668.296</v>
      </c>
      <c r="H294" s="43">
        <f>ROUND(E294*VLOOKUP(C294,'Задание 2 (Справочник)'!$B$16:$C$18,2,FALSE),0)</f>
        <v>12041</v>
      </c>
      <c r="I294" s="43">
        <f t="shared" si="2"/>
        <v>105954.56</v>
      </c>
    </row>
    <row r="295" ht="13.5" customHeight="1">
      <c r="A295" s="1" t="s">
        <v>401</v>
      </c>
      <c r="B295" s="1" t="s">
        <v>77</v>
      </c>
      <c r="C295" s="41" t="str">
        <f t="shared" si="1"/>
        <v>Большой</v>
      </c>
      <c r="D295" s="42">
        <f>VLOOKUP(A295,'Задание 2 (Известные данные)'!$A$2:$D$501,2,FALSE)</f>
        <v>1876543</v>
      </c>
      <c r="E295" s="43">
        <f>ROUND(D295*VLOOKUP(B295,'Задание 2 (Справочник)'!$B$8:$D$12,2,FALSE)/(1-VLOOKUP(B295,'Задание 2 (Справочник)'!$B$8:$D$12,3,FALSE)),0)</f>
        <v>1407407</v>
      </c>
      <c r="F295" s="43">
        <f>VLOOKUP(A295,'Задание 2 (Известные данные)'!$A$2:$D$501,3,FALSE)</f>
        <v>1200987</v>
      </c>
      <c r="G295" s="37">
        <f>F295*VLOOKUP(A295,'Задание 2 (Известные данные)'!$A$2:$D$501,4,FALSE)/1000</f>
        <v>118897.713</v>
      </c>
      <c r="H295" s="43">
        <f>ROUND(E295*VLOOKUP(C295,'Задание 2 (Справочник)'!$B$16:$C$18,2,FALSE),0)</f>
        <v>7037</v>
      </c>
      <c r="I295" s="43">
        <f t="shared" si="2"/>
        <v>59519.23</v>
      </c>
    </row>
    <row r="296" ht="13.5" customHeight="1">
      <c r="A296" s="1" t="s">
        <v>402</v>
      </c>
      <c r="B296" s="1" t="s">
        <v>77</v>
      </c>
      <c r="C296" s="41" t="str">
        <f t="shared" si="1"/>
        <v>Большой</v>
      </c>
      <c r="D296" s="42">
        <f>VLOOKUP(A296,'Задание 2 (Известные данные)'!$A$2:$D$501,2,FALSE)</f>
        <v>4987612</v>
      </c>
      <c r="E296" s="43">
        <f>ROUND(D296*VLOOKUP(B296,'Задание 2 (Справочник)'!$B$8:$D$12,2,FALSE)/(1-VLOOKUP(B296,'Задание 2 (Справочник)'!$B$8:$D$12,3,FALSE)),0)</f>
        <v>3740709</v>
      </c>
      <c r="F296" s="43">
        <f>VLOOKUP(A296,'Задание 2 (Известные данные)'!$A$2:$D$501,3,FALSE)</f>
        <v>3192072</v>
      </c>
      <c r="G296" s="37">
        <f>F296*VLOOKUP(A296,'Задание 2 (Известные данные)'!$A$2:$D$501,4,FALSE)/1000</f>
        <v>341551.704</v>
      </c>
      <c r="H296" s="43">
        <f>ROUND(E296*VLOOKUP(C296,'Задание 2 (Справочник)'!$B$16:$C$18,2,FALSE),0)</f>
        <v>18704</v>
      </c>
      <c r="I296" s="43">
        <f t="shared" si="2"/>
        <v>170962.89</v>
      </c>
    </row>
    <row r="297" ht="13.5" customHeight="1">
      <c r="A297" s="1" t="s">
        <v>403</v>
      </c>
      <c r="B297" s="1" t="s">
        <v>77</v>
      </c>
      <c r="C297" s="41" t="str">
        <f t="shared" si="1"/>
        <v>Большой</v>
      </c>
      <c r="D297" s="42">
        <f>VLOOKUP(A297,'Задание 2 (Известные данные)'!$A$2:$D$501,2,FALSE)</f>
        <v>2345678</v>
      </c>
      <c r="E297" s="43">
        <f>ROUND(D297*VLOOKUP(B297,'Задание 2 (Справочник)'!$B$8:$D$12,2,FALSE)/(1-VLOOKUP(B297,'Задание 2 (Справочник)'!$B$8:$D$12,3,FALSE)),0)</f>
        <v>1759259</v>
      </c>
      <c r="F297" s="43">
        <f>VLOOKUP(A297,'Задание 2 (Известные данные)'!$A$2:$D$501,3,FALSE)</f>
        <v>1501234</v>
      </c>
      <c r="G297" s="37">
        <f>F297*VLOOKUP(A297,'Задание 2 (Известные данные)'!$A$2:$D$501,4,FALSE)/1000</f>
        <v>153125.868</v>
      </c>
      <c r="H297" s="43">
        <f>ROUND(E297*VLOOKUP(C297,'Задание 2 (Справочник)'!$B$16:$C$18,2,FALSE),0)</f>
        <v>8796</v>
      </c>
      <c r="I297" s="43">
        <f t="shared" si="2"/>
        <v>76650.89</v>
      </c>
    </row>
    <row r="298" ht="13.5" customHeight="1">
      <c r="A298" s="1" t="s">
        <v>404</v>
      </c>
      <c r="B298" s="1" t="s">
        <v>77</v>
      </c>
      <c r="C298" s="41" t="str">
        <f t="shared" si="1"/>
        <v>Средний</v>
      </c>
      <c r="D298" s="42">
        <f>VLOOKUP(A298,'Задание 2 (Известные данные)'!$A$2:$D$501,2,FALSE)</f>
        <v>234567</v>
      </c>
      <c r="E298" s="43">
        <f>ROUND(D298*VLOOKUP(B298,'Задание 2 (Справочник)'!$B$8:$D$12,2,FALSE)/(1-VLOOKUP(B298,'Задание 2 (Справочник)'!$B$8:$D$12,3,FALSE)),0)</f>
        <v>175925</v>
      </c>
      <c r="F298" s="43">
        <f>VLOOKUP(A298,'Задание 2 (Известные данные)'!$A$2:$D$501,3,FALSE)</f>
        <v>150123</v>
      </c>
      <c r="G298" s="37">
        <f>F298*VLOOKUP(A298,'Задание 2 (Известные данные)'!$A$2:$D$501,4,FALSE)/1000</f>
        <v>14712.054</v>
      </c>
      <c r="H298" s="43">
        <f>ROUND(E298*VLOOKUP(C298,'Задание 2 (Справочник)'!$B$16:$C$18,2,FALSE),0)</f>
        <v>1319</v>
      </c>
      <c r="I298" s="43">
        <f t="shared" si="2"/>
        <v>7369.22</v>
      </c>
    </row>
    <row r="299" ht="13.5" customHeight="1">
      <c r="A299" s="1" t="s">
        <v>405</v>
      </c>
      <c r="B299" s="1" t="s">
        <v>77</v>
      </c>
      <c r="C299" s="41" t="str">
        <f t="shared" si="1"/>
        <v>Средний</v>
      </c>
      <c r="D299" s="42">
        <f>VLOOKUP(A299,'Задание 2 (Известные данные)'!$A$2:$D$501,2,FALSE)</f>
        <v>345678</v>
      </c>
      <c r="E299" s="43">
        <f>ROUND(D299*VLOOKUP(B299,'Задание 2 (Справочник)'!$B$8:$D$12,2,FALSE)/(1-VLOOKUP(B299,'Задание 2 (Справочник)'!$B$8:$D$12,3,FALSE)),0)</f>
        <v>259259</v>
      </c>
      <c r="F299" s="43">
        <f>VLOOKUP(A299,'Задание 2 (Известные данные)'!$A$2:$D$501,3,FALSE)</f>
        <v>221234</v>
      </c>
      <c r="G299" s="37">
        <f>F299*VLOOKUP(A299,'Задание 2 (Известные данные)'!$A$2:$D$501,4,FALSE)/1000</f>
        <v>23229.57</v>
      </c>
      <c r="H299" s="43">
        <f>ROUND(E299*VLOOKUP(C299,'Задание 2 (Справочник)'!$B$16:$C$18,2,FALSE),0)</f>
        <v>1944</v>
      </c>
      <c r="I299" s="43">
        <f t="shared" si="2"/>
        <v>11634.23</v>
      </c>
    </row>
    <row r="300" ht="13.5" customHeight="1">
      <c r="A300" s="1" t="s">
        <v>406</v>
      </c>
      <c r="B300" s="1" t="s">
        <v>77</v>
      </c>
      <c r="C300" s="41" t="str">
        <f t="shared" si="1"/>
        <v>Средний</v>
      </c>
      <c r="D300" s="42">
        <f>VLOOKUP(A300,'Задание 2 (Известные данные)'!$A$2:$D$501,2,FALSE)</f>
        <v>123456</v>
      </c>
      <c r="E300" s="43">
        <f>ROUND(D300*VLOOKUP(B300,'Задание 2 (Справочник)'!$B$8:$D$12,2,FALSE)/(1-VLOOKUP(B300,'Задание 2 (Справочник)'!$B$8:$D$12,3,FALSE)),0)</f>
        <v>92592</v>
      </c>
      <c r="F300" s="43">
        <f>VLOOKUP(A300,'Задание 2 (Известные данные)'!$A$2:$D$501,3,FALSE)</f>
        <v>79012</v>
      </c>
      <c r="G300" s="37">
        <f>F300*VLOOKUP(A300,'Задание 2 (Известные данные)'!$A$2:$D$501,4,FALSE)/1000</f>
        <v>7348.116</v>
      </c>
      <c r="H300" s="43">
        <f>ROUND(E300*VLOOKUP(C300,'Задание 2 (Справочник)'!$B$16:$C$18,2,FALSE),0)</f>
        <v>694</v>
      </c>
      <c r="I300" s="43">
        <f t="shared" si="2"/>
        <v>3681</v>
      </c>
    </row>
    <row r="301" ht="13.5" customHeight="1">
      <c r="A301" s="1" t="s">
        <v>407</v>
      </c>
      <c r="B301" s="1" t="s">
        <v>77</v>
      </c>
      <c r="C301" s="41" t="str">
        <f t="shared" si="1"/>
        <v>Средний</v>
      </c>
      <c r="D301" s="42">
        <f>VLOOKUP(A301,'Задание 2 (Известные данные)'!$A$2:$D$501,2,FALSE)</f>
        <v>456789</v>
      </c>
      <c r="E301" s="43">
        <f>ROUND(D301*VLOOKUP(B301,'Задание 2 (Справочник)'!$B$8:$D$12,2,FALSE)/(1-VLOOKUP(B301,'Задание 2 (Справочник)'!$B$8:$D$12,3,FALSE)),0)</f>
        <v>342592</v>
      </c>
      <c r="F301" s="43">
        <f>VLOOKUP(A301,'Задание 2 (Известные данные)'!$A$2:$D$501,3,FALSE)</f>
        <v>292345</v>
      </c>
      <c r="G301" s="37">
        <f>F301*VLOOKUP(A301,'Задание 2 (Известные данные)'!$A$2:$D$501,4,FALSE)/1000</f>
        <v>31865.605</v>
      </c>
      <c r="H301" s="43">
        <f>ROUND(E301*VLOOKUP(C301,'Задание 2 (Справочник)'!$B$16:$C$18,2,FALSE),0)</f>
        <v>2569</v>
      </c>
      <c r="I301" s="43">
        <f t="shared" si="2"/>
        <v>15958.49</v>
      </c>
    </row>
    <row r="302" ht="13.5" customHeight="1">
      <c r="A302" s="1" t="s">
        <v>408</v>
      </c>
      <c r="B302" s="1" t="s">
        <v>77</v>
      </c>
      <c r="C302" s="41" t="str">
        <f t="shared" si="1"/>
        <v>Средний</v>
      </c>
      <c r="D302" s="42">
        <f>VLOOKUP(A302,'Задание 2 (Известные данные)'!$A$2:$D$501,2,FALSE)</f>
        <v>198765</v>
      </c>
      <c r="E302" s="43">
        <f>ROUND(D302*VLOOKUP(B302,'Задание 2 (Справочник)'!$B$8:$D$12,2,FALSE)/(1-VLOOKUP(B302,'Задание 2 (Справочник)'!$B$8:$D$12,3,FALSE)),0)</f>
        <v>149074</v>
      </c>
      <c r="F302" s="43">
        <f>VLOOKUP(A302,'Задание 2 (Известные данные)'!$A$2:$D$501,3,FALSE)</f>
        <v>127210</v>
      </c>
      <c r="G302" s="37">
        <f>F302*VLOOKUP(A302,'Задание 2 (Известные данные)'!$A$2:$D$501,4,FALSE)/1000</f>
        <v>12339.37</v>
      </c>
      <c r="H302" s="43">
        <f>ROUND(E302*VLOOKUP(C302,'Задание 2 (Справочник)'!$B$16:$C$18,2,FALSE),0)</f>
        <v>1118</v>
      </c>
      <c r="I302" s="43">
        <f t="shared" si="2"/>
        <v>6180.87</v>
      </c>
    </row>
    <row r="303" ht="13.5" customHeight="1">
      <c r="A303" s="1" t="s">
        <v>409</v>
      </c>
      <c r="B303" s="1" t="s">
        <v>77</v>
      </c>
      <c r="C303" s="41" t="str">
        <f t="shared" si="1"/>
        <v>Средний</v>
      </c>
      <c r="D303" s="42">
        <f>VLOOKUP(A303,'Задание 2 (Известные данные)'!$A$2:$D$501,2,FALSE)</f>
        <v>287654</v>
      </c>
      <c r="E303" s="43">
        <f>ROUND(D303*VLOOKUP(B303,'Задание 2 (Справочник)'!$B$8:$D$12,2,FALSE)/(1-VLOOKUP(B303,'Задание 2 (Справочник)'!$B$8:$D$12,3,FALSE)),0)</f>
        <v>215741</v>
      </c>
      <c r="F303" s="43">
        <f>VLOOKUP(A303,'Задание 2 (Известные данные)'!$A$2:$D$501,3,FALSE)</f>
        <v>184098</v>
      </c>
      <c r="G303" s="37">
        <f>F303*VLOOKUP(A303,'Задание 2 (Известные данные)'!$A$2:$D$501,4,FALSE)/1000</f>
        <v>18962.094</v>
      </c>
      <c r="H303" s="43">
        <f>ROUND(E303*VLOOKUP(C303,'Задание 2 (Справочник)'!$B$16:$C$18,2,FALSE),0)</f>
        <v>1618</v>
      </c>
      <c r="I303" s="43">
        <f t="shared" si="2"/>
        <v>9497.23</v>
      </c>
    </row>
    <row r="304" ht="13.5" customHeight="1">
      <c r="A304" s="1" t="s">
        <v>410</v>
      </c>
      <c r="B304" s="1" t="s">
        <v>77</v>
      </c>
      <c r="C304" s="41" t="str">
        <f t="shared" si="1"/>
        <v>Средний</v>
      </c>
      <c r="D304" s="42">
        <f>VLOOKUP(A304,'Задание 2 (Известные данные)'!$A$2:$D$501,2,FALSE)</f>
        <v>165432</v>
      </c>
      <c r="E304" s="43">
        <f>ROUND(D304*VLOOKUP(B304,'Задание 2 (Справочник)'!$B$8:$D$12,2,FALSE)/(1-VLOOKUP(B304,'Задание 2 (Справочник)'!$B$8:$D$12,3,FALSE)),0)</f>
        <v>124074</v>
      </c>
      <c r="F304" s="43">
        <f>VLOOKUP(A304,'Задание 2 (Известные данные)'!$A$2:$D$501,3,FALSE)</f>
        <v>105877</v>
      </c>
      <c r="G304" s="37">
        <f>F304*VLOOKUP(A304,'Задание 2 (Известные данные)'!$A$2:$D$501,4,FALSE)/1000</f>
        <v>10058.315</v>
      </c>
      <c r="H304" s="43">
        <f>ROUND(E304*VLOOKUP(C304,'Задание 2 (Справочник)'!$B$16:$C$18,2,FALSE),0)</f>
        <v>931</v>
      </c>
      <c r="I304" s="43">
        <f t="shared" si="2"/>
        <v>5038.47</v>
      </c>
    </row>
    <row r="305" ht="13.5" customHeight="1">
      <c r="A305" s="1" t="s">
        <v>411</v>
      </c>
      <c r="B305" s="1" t="s">
        <v>77</v>
      </c>
      <c r="C305" s="41" t="str">
        <f t="shared" si="1"/>
        <v>Средний</v>
      </c>
      <c r="D305" s="42">
        <f>VLOOKUP(A305,'Задание 2 (Известные данные)'!$A$2:$D$501,2,FALSE)</f>
        <v>398761</v>
      </c>
      <c r="E305" s="43">
        <f>ROUND(D305*VLOOKUP(B305,'Задание 2 (Справочник)'!$B$8:$D$12,2,FALSE)/(1-VLOOKUP(B305,'Задание 2 (Справочник)'!$B$8:$D$12,3,FALSE)),0)</f>
        <v>299071</v>
      </c>
      <c r="F305" s="43">
        <f>VLOOKUP(A305,'Задание 2 (Известные данные)'!$A$2:$D$501,3,FALSE)</f>
        <v>255207</v>
      </c>
      <c r="G305" s="37">
        <f>F305*VLOOKUP(A305,'Задание 2 (Известные данные)'!$A$2:$D$501,4,FALSE)/1000</f>
        <v>27307.149</v>
      </c>
      <c r="H305" s="43">
        <f>ROUND(E305*VLOOKUP(C305,'Задание 2 (Справочник)'!$B$16:$C$18,2,FALSE),0)</f>
        <v>2243</v>
      </c>
      <c r="I305" s="43">
        <f t="shared" si="2"/>
        <v>13676</v>
      </c>
    </row>
    <row r="306" ht="13.5" customHeight="1">
      <c r="A306" s="1" t="s">
        <v>412</v>
      </c>
      <c r="B306" s="1" t="s">
        <v>77</v>
      </c>
      <c r="C306" s="41" t="str">
        <f t="shared" si="1"/>
        <v>Средний</v>
      </c>
      <c r="D306" s="42">
        <f>VLOOKUP(A306,'Задание 2 (Известные данные)'!$A$2:$D$501,2,FALSE)</f>
        <v>210987</v>
      </c>
      <c r="E306" s="43">
        <f>ROUND(D306*VLOOKUP(B306,'Задание 2 (Справочник)'!$B$8:$D$12,2,FALSE)/(1-VLOOKUP(B306,'Задание 2 (Справочник)'!$B$8:$D$12,3,FALSE)),0)</f>
        <v>158240</v>
      </c>
      <c r="F306" s="43">
        <f>VLOOKUP(A306,'Задание 2 (Известные данные)'!$A$2:$D$501,3,FALSE)</f>
        <v>135032</v>
      </c>
      <c r="G306" s="37">
        <f>F306*VLOOKUP(A306,'Задание 2 (Известные данные)'!$A$2:$D$501,4,FALSE)/1000</f>
        <v>13368.168</v>
      </c>
      <c r="H306" s="43">
        <f>ROUND(E306*VLOOKUP(C306,'Задание 2 (Справочник)'!$B$16:$C$18,2,FALSE),0)</f>
        <v>1187</v>
      </c>
      <c r="I306" s="43">
        <f t="shared" si="2"/>
        <v>6695.95</v>
      </c>
    </row>
    <row r="307" ht="13.5" customHeight="1">
      <c r="A307" s="1" t="s">
        <v>413</v>
      </c>
      <c r="B307" s="1" t="s">
        <v>77</v>
      </c>
      <c r="C307" s="41" t="str">
        <f t="shared" si="1"/>
        <v>Средний</v>
      </c>
      <c r="D307" s="42">
        <f>VLOOKUP(A307,'Задание 2 (Известные данные)'!$A$2:$D$501,2,FALSE)</f>
        <v>321098</v>
      </c>
      <c r="E307" s="43">
        <f>ROUND(D307*VLOOKUP(B307,'Задание 2 (Справочник)'!$B$8:$D$12,2,FALSE)/(1-VLOOKUP(B307,'Задание 2 (Справочник)'!$B$8:$D$12,3,FALSE)),0)</f>
        <v>240824</v>
      </c>
      <c r="F307" s="43">
        <f>VLOOKUP(A307,'Задание 2 (Известные данные)'!$A$2:$D$501,3,FALSE)</f>
        <v>205502</v>
      </c>
      <c r="G307" s="37">
        <f>F307*VLOOKUP(A307,'Задание 2 (Известные данные)'!$A$2:$D$501,4,FALSE)/1000</f>
        <v>21372.208</v>
      </c>
      <c r="H307" s="43">
        <f>ROUND(E307*VLOOKUP(C307,'Задание 2 (Справочник)'!$B$16:$C$18,2,FALSE),0)</f>
        <v>1806</v>
      </c>
      <c r="I307" s="43">
        <f t="shared" si="2"/>
        <v>10704.16</v>
      </c>
    </row>
    <row r="308" ht="13.5" customHeight="1">
      <c r="A308" s="1" t="s">
        <v>414</v>
      </c>
      <c r="B308" s="1" t="s">
        <v>77</v>
      </c>
      <c r="C308" s="41" t="str">
        <f t="shared" si="1"/>
        <v>Средний</v>
      </c>
      <c r="D308" s="42">
        <f>VLOOKUP(A308,'Задание 2 (Известные данные)'!$A$2:$D$501,2,FALSE)</f>
        <v>143210</v>
      </c>
      <c r="E308" s="43">
        <f>ROUND(D308*VLOOKUP(B308,'Задание 2 (Справочник)'!$B$8:$D$12,2,FALSE)/(1-VLOOKUP(B308,'Задание 2 (Справочник)'!$B$8:$D$12,3,FALSE)),0)</f>
        <v>107408</v>
      </c>
      <c r="F308" s="43">
        <f>VLOOKUP(A308,'Задание 2 (Известные данные)'!$A$2:$D$501,3,FALSE)</f>
        <v>91654</v>
      </c>
      <c r="G308" s="37">
        <f>F308*VLOOKUP(A308,'Задание 2 (Известные данные)'!$A$2:$D$501,4,FALSE)/1000</f>
        <v>8432.168</v>
      </c>
      <c r="H308" s="43">
        <f>ROUND(E308*VLOOKUP(C308,'Задание 2 (Справочник)'!$B$16:$C$18,2,FALSE),0)</f>
        <v>806</v>
      </c>
      <c r="I308" s="43">
        <f t="shared" si="2"/>
        <v>4224.14</v>
      </c>
    </row>
    <row r="309" ht="13.5" customHeight="1">
      <c r="A309" s="1" t="s">
        <v>415</v>
      </c>
      <c r="B309" s="1" t="s">
        <v>77</v>
      </c>
      <c r="C309" s="41" t="str">
        <f t="shared" si="1"/>
        <v>Средний</v>
      </c>
      <c r="D309" s="42">
        <f>VLOOKUP(A309,'Задание 2 (Известные данные)'!$A$2:$D$501,2,FALSE)</f>
        <v>254321</v>
      </c>
      <c r="E309" s="43">
        <f>ROUND(D309*VLOOKUP(B309,'Задание 2 (Справочник)'!$B$8:$D$12,2,FALSE)/(1-VLOOKUP(B309,'Задание 2 (Справочник)'!$B$8:$D$12,3,FALSE)),0)</f>
        <v>190741</v>
      </c>
      <c r="F309" s="43">
        <f>VLOOKUP(A309,'Задание 2 (Известные данные)'!$A$2:$D$501,3,FALSE)</f>
        <v>162766</v>
      </c>
      <c r="G309" s="37">
        <f>F309*VLOOKUP(A309,'Задание 2 (Известные данные)'!$A$2:$D$501,4,FALSE)/1000</f>
        <v>16439.366</v>
      </c>
      <c r="H309" s="43">
        <f>ROUND(E309*VLOOKUP(C309,'Задание 2 (Справочник)'!$B$16:$C$18,2,FALSE),0)</f>
        <v>1431</v>
      </c>
      <c r="I309" s="43">
        <f t="shared" si="2"/>
        <v>8233.99</v>
      </c>
    </row>
    <row r="310" ht="13.5" customHeight="1">
      <c r="A310" s="1" t="s">
        <v>416</v>
      </c>
      <c r="B310" s="1" t="s">
        <v>77</v>
      </c>
      <c r="C310" s="41" t="str">
        <f t="shared" si="1"/>
        <v>Средний</v>
      </c>
      <c r="D310" s="42">
        <f>VLOOKUP(A310,'Задание 2 (Известные данные)'!$A$2:$D$501,2,FALSE)</f>
        <v>367890</v>
      </c>
      <c r="E310" s="43">
        <f>ROUND(D310*VLOOKUP(B310,'Задание 2 (Справочник)'!$B$8:$D$12,2,FALSE)/(1-VLOOKUP(B310,'Задание 2 (Справочник)'!$B$8:$D$12,3,FALSE)),0)</f>
        <v>275918</v>
      </c>
      <c r="F310" s="43">
        <f>VLOOKUP(A310,'Задание 2 (Известные данные)'!$A$2:$D$501,3,FALSE)</f>
        <v>235450</v>
      </c>
      <c r="G310" s="37">
        <f>F310*VLOOKUP(A310,'Задание 2 (Известные данные)'!$A$2:$D$501,4,FALSE)/1000</f>
        <v>25428.6</v>
      </c>
      <c r="H310" s="43">
        <f>ROUND(E310*VLOOKUP(C310,'Задание 2 (Справочник)'!$B$16:$C$18,2,FALSE),0)</f>
        <v>2069</v>
      </c>
      <c r="I310" s="43">
        <f t="shared" si="2"/>
        <v>12734.99</v>
      </c>
    </row>
    <row r="311" ht="13.5" customHeight="1">
      <c r="A311" s="1" t="s">
        <v>417</v>
      </c>
      <c r="B311" s="1" t="s">
        <v>77</v>
      </c>
      <c r="C311" s="41" t="str">
        <f t="shared" si="1"/>
        <v>Средний</v>
      </c>
      <c r="D311" s="42">
        <f>VLOOKUP(A311,'Задание 2 (Известные данные)'!$A$2:$D$501,2,FALSE)</f>
        <v>176543</v>
      </c>
      <c r="E311" s="43">
        <f>ROUND(D311*VLOOKUP(B311,'Задание 2 (Справочник)'!$B$8:$D$12,2,FALSE)/(1-VLOOKUP(B311,'Задание 2 (Справочник)'!$B$8:$D$12,3,FALSE)),0)</f>
        <v>132407</v>
      </c>
      <c r="F311" s="43">
        <f>VLOOKUP(A311,'Задание 2 (Известные данные)'!$A$2:$D$501,3,FALSE)</f>
        <v>112987</v>
      </c>
      <c r="G311" s="37">
        <f>F311*VLOOKUP(A311,'Задание 2 (Известные данные)'!$A$2:$D$501,4,FALSE)/1000</f>
        <v>10846.752</v>
      </c>
      <c r="H311" s="43">
        <f>ROUND(E311*VLOOKUP(C311,'Задание 2 (Справочник)'!$B$16:$C$18,2,FALSE),0)</f>
        <v>993</v>
      </c>
      <c r="I311" s="43">
        <f t="shared" si="2"/>
        <v>5433.31</v>
      </c>
    </row>
    <row r="312" ht="13.5" customHeight="1">
      <c r="A312" s="1" t="s">
        <v>418</v>
      </c>
      <c r="B312" s="1" t="s">
        <v>77</v>
      </c>
      <c r="C312" s="41" t="str">
        <f t="shared" si="1"/>
        <v>Средний</v>
      </c>
      <c r="D312" s="42">
        <f>VLOOKUP(A312,'Задание 2 (Известные данные)'!$A$2:$D$501,2,FALSE)</f>
        <v>289765</v>
      </c>
      <c r="E312" s="43">
        <f>ROUND(D312*VLOOKUP(B312,'Задание 2 (Справочник)'!$B$8:$D$12,2,FALSE)/(1-VLOOKUP(B312,'Задание 2 (Справочник)'!$B$8:$D$12,3,FALSE)),0)</f>
        <v>217324</v>
      </c>
      <c r="F312" s="43">
        <f>VLOOKUP(A312,'Задание 2 (Известные данные)'!$A$2:$D$501,3,FALSE)</f>
        <v>185450</v>
      </c>
      <c r="G312" s="37">
        <f>F312*VLOOKUP(A312,'Задание 2 (Известные данные)'!$A$2:$D$501,4,FALSE)/1000</f>
        <v>18915.9</v>
      </c>
      <c r="H312" s="43">
        <f>ROUND(E312*VLOOKUP(C312,'Задание 2 (Справочник)'!$B$16:$C$18,2,FALSE),0)</f>
        <v>1630</v>
      </c>
      <c r="I312" s="43">
        <f t="shared" si="2"/>
        <v>9474.25</v>
      </c>
    </row>
    <row r="313" ht="13.5" customHeight="1">
      <c r="A313" s="1" t="s">
        <v>419</v>
      </c>
      <c r="B313" s="1" t="s">
        <v>77</v>
      </c>
      <c r="C313" s="41" t="str">
        <f t="shared" si="1"/>
        <v>Средний</v>
      </c>
      <c r="D313" s="42">
        <f>VLOOKUP(A313,'Задание 2 (Известные данные)'!$A$2:$D$501,2,FALSE)</f>
        <v>198543</v>
      </c>
      <c r="E313" s="43">
        <f>ROUND(D313*VLOOKUP(B313,'Задание 2 (Справочник)'!$B$8:$D$12,2,FALSE)/(1-VLOOKUP(B313,'Задание 2 (Справочник)'!$B$8:$D$12,3,FALSE)),0)</f>
        <v>148907</v>
      </c>
      <c r="F313" s="43">
        <f>VLOOKUP(A313,'Задание 2 (Известные данные)'!$A$2:$D$501,3,FALSE)</f>
        <v>127067</v>
      </c>
      <c r="G313" s="37">
        <f>F313*VLOOKUP(A313,'Задание 2 (Известные данные)'!$A$2:$D$501,4,FALSE)/1000</f>
        <v>12452.566</v>
      </c>
      <c r="H313" s="43">
        <f>ROUND(E313*VLOOKUP(C313,'Задание 2 (Справочник)'!$B$16:$C$18,2,FALSE),0)</f>
        <v>1117</v>
      </c>
      <c r="I313" s="43">
        <f t="shared" si="2"/>
        <v>6237.45</v>
      </c>
    </row>
    <row r="314" ht="13.5" customHeight="1">
      <c r="A314" s="1" t="s">
        <v>420</v>
      </c>
      <c r="B314" s="1" t="s">
        <v>77</v>
      </c>
      <c r="C314" s="41" t="str">
        <f t="shared" si="1"/>
        <v>Средний</v>
      </c>
      <c r="D314" s="42">
        <f>VLOOKUP(A314,'Задание 2 (Известные данные)'!$A$2:$D$501,2,FALSE)</f>
        <v>312987</v>
      </c>
      <c r="E314" s="43">
        <f>ROUND(D314*VLOOKUP(B314,'Задание 2 (Справочник)'!$B$8:$D$12,2,FALSE)/(1-VLOOKUP(B314,'Задание 2 (Справочник)'!$B$8:$D$12,3,FALSE)),0)</f>
        <v>234740</v>
      </c>
      <c r="F314" s="43">
        <f>VLOOKUP(A314,'Задание 2 (Известные данные)'!$A$2:$D$501,3,FALSE)</f>
        <v>200312</v>
      </c>
      <c r="G314" s="37">
        <f>F314*VLOOKUP(A314,'Задание 2 (Известные данные)'!$A$2:$D$501,4,FALSE)/1000</f>
        <v>21233.072</v>
      </c>
      <c r="H314" s="43">
        <f>ROUND(E314*VLOOKUP(C314,'Задание 2 (Справочник)'!$B$16:$C$18,2,FALSE),0)</f>
        <v>1761</v>
      </c>
      <c r="I314" s="43">
        <f t="shared" si="2"/>
        <v>10634.15</v>
      </c>
    </row>
    <row r="315" ht="13.5" customHeight="1">
      <c r="A315" s="1" t="s">
        <v>421</v>
      </c>
      <c r="B315" s="1" t="s">
        <v>77</v>
      </c>
      <c r="C315" s="41" t="str">
        <f t="shared" si="1"/>
        <v>Средний</v>
      </c>
      <c r="D315" s="42">
        <f>VLOOKUP(A315,'Задание 2 (Известные данные)'!$A$2:$D$501,2,FALSE)</f>
        <v>134567</v>
      </c>
      <c r="E315" s="43">
        <f>ROUND(D315*VLOOKUP(B315,'Задание 2 (Справочник)'!$B$8:$D$12,2,FALSE)/(1-VLOOKUP(B315,'Задание 2 (Справочник)'!$B$8:$D$12,3,FALSE)),0)</f>
        <v>100925</v>
      </c>
      <c r="F315" s="43">
        <f>VLOOKUP(A315,'Задание 2 (Известные данные)'!$A$2:$D$501,3,FALSE)</f>
        <v>86123</v>
      </c>
      <c r="G315" s="37">
        <f>F315*VLOOKUP(A315,'Задание 2 (Известные данные)'!$A$2:$D$501,4,FALSE)/1000</f>
        <v>8095.562</v>
      </c>
      <c r="H315" s="43">
        <f>ROUND(E315*VLOOKUP(C315,'Задание 2 (Справочник)'!$B$16:$C$18,2,FALSE),0)</f>
        <v>757</v>
      </c>
      <c r="I315" s="43">
        <f t="shared" si="2"/>
        <v>4055.35</v>
      </c>
    </row>
    <row r="316" ht="13.5" customHeight="1">
      <c r="A316" s="1" t="s">
        <v>422</v>
      </c>
      <c r="B316" s="1" t="s">
        <v>77</v>
      </c>
      <c r="C316" s="41" t="str">
        <f t="shared" si="1"/>
        <v>Средний</v>
      </c>
      <c r="D316" s="42">
        <f>VLOOKUP(A316,'Задание 2 (Известные данные)'!$A$2:$D$501,2,FALSE)</f>
        <v>276543</v>
      </c>
      <c r="E316" s="43">
        <f>ROUND(D316*VLOOKUP(B316,'Задание 2 (Справочник)'!$B$8:$D$12,2,FALSE)/(1-VLOOKUP(B316,'Задание 2 (Справочник)'!$B$8:$D$12,3,FALSE)),0)</f>
        <v>207407</v>
      </c>
      <c r="F316" s="43">
        <f>VLOOKUP(A316,'Задание 2 (Известные данные)'!$A$2:$D$501,3,FALSE)</f>
        <v>176987</v>
      </c>
      <c r="G316" s="37">
        <f>F316*VLOOKUP(A316,'Задание 2 (Известные данные)'!$A$2:$D$501,4,FALSE)/1000</f>
        <v>17698.7</v>
      </c>
      <c r="H316" s="43">
        <f>ROUND(E316*VLOOKUP(C316,'Задание 2 (Справочник)'!$B$16:$C$18,2,FALSE),0)</f>
        <v>1556</v>
      </c>
      <c r="I316" s="43">
        <f t="shared" si="2"/>
        <v>8864.91</v>
      </c>
    </row>
    <row r="317" ht="13.5" customHeight="1">
      <c r="A317" s="1" t="s">
        <v>423</v>
      </c>
      <c r="B317" s="1" t="s">
        <v>77</v>
      </c>
      <c r="C317" s="41" t="str">
        <f t="shared" si="1"/>
        <v>Средний</v>
      </c>
      <c r="D317" s="42">
        <f>VLOOKUP(A317,'Задание 2 (Известные данные)'!$A$2:$D$501,2,FALSE)</f>
        <v>154321</v>
      </c>
      <c r="E317" s="43">
        <f>ROUND(D317*VLOOKUP(B317,'Задание 2 (Справочник)'!$B$8:$D$12,2,FALSE)/(1-VLOOKUP(B317,'Задание 2 (Справочник)'!$B$8:$D$12,3,FALSE)),0)</f>
        <v>115741</v>
      </c>
      <c r="F317" s="43">
        <f>VLOOKUP(A317,'Задание 2 (Известные данные)'!$A$2:$D$501,3,FALSE)</f>
        <v>98766</v>
      </c>
      <c r="G317" s="37">
        <f>F317*VLOOKUP(A317,'Задание 2 (Известные данные)'!$A$2:$D$501,4,FALSE)/1000</f>
        <v>9382.77</v>
      </c>
      <c r="H317" s="43">
        <f>ROUND(E317*VLOOKUP(C317,'Задание 2 (Справочник)'!$B$16:$C$18,2,FALSE),0)</f>
        <v>868</v>
      </c>
      <c r="I317" s="43">
        <f t="shared" si="2"/>
        <v>4700.07</v>
      </c>
    </row>
    <row r="318" ht="13.5" customHeight="1">
      <c r="A318" s="1" t="s">
        <v>424</v>
      </c>
      <c r="B318" s="1" t="s">
        <v>77</v>
      </c>
      <c r="C318" s="41" t="str">
        <f t="shared" si="1"/>
        <v>Средний</v>
      </c>
      <c r="D318" s="42">
        <f>VLOOKUP(A318,'Задание 2 (Известные данные)'!$A$2:$D$501,2,FALSE)</f>
        <v>298761</v>
      </c>
      <c r="E318" s="43">
        <f>ROUND(D318*VLOOKUP(B318,'Задание 2 (Справочник)'!$B$8:$D$12,2,FALSE)/(1-VLOOKUP(B318,'Задание 2 (Справочник)'!$B$8:$D$12,3,FALSE)),0)</f>
        <v>224071</v>
      </c>
      <c r="F318" s="43">
        <f>VLOOKUP(A318,'Задание 2 (Известные данные)'!$A$2:$D$501,3,FALSE)</f>
        <v>191207</v>
      </c>
      <c r="G318" s="37">
        <f>F318*VLOOKUP(A318,'Задание 2 (Известные данные)'!$A$2:$D$501,4,FALSE)/1000</f>
        <v>19694.321</v>
      </c>
      <c r="H318" s="43">
        <f>ROUND(E318*VLOOKUP(C318,'Задание 2 (Справочник)'!$B$16:$C$18,2,FALSE),0)</f>
        <v>1681</v>
      </c>
      <c r="I318" s="43">
        <f t="shared" si="2"/>
        <v>9863.97</v>
      </c>
    </row>
    <row r="319" ht="13.5" customHeight="1">
      <c r="A319" s="1" t="s">
        <v>425</v>
      </c>
      <c r="B319" s="1" t="s">
        <v>77</v>
      </c>
      <c r="C319" s="41" t="str">
        <f t="shared" si="1"/>
        <v>Средний</v>
      </c>
      <c r="D319" s="42">
        <f>VLOOKUP(A319,'Задание 2 (Известные данные)'!$A$2:$D$501,2,FALSE)</f>
        <v>187654</v>
      </c>
      <c r="E319" s="43">
        <f>ROUND(D319*VLOOKUP(B319,'Задание 2 (Справочник)'!$B$8:$D$12,2,FALSE)/(1-VLOOKUP(B319,'Задание 2 (Справочник)'!$B$8:$D$12,3,FALSE)),0)</f>
        <v>140741</v>
      </c>
      <c r="F319" s="43">
        <f>VLOOKUP(A319,'Задание 2 (Известные данные)'!$A$2:$D$501,3,FALSE)</f>
        <v>120098</v>
      </c>
      <c r="G319" s="37">
        <f>F319*VLOOKUP(A319,'Задание 2 (Известные данные)'!$A$2:$D$501,4,FALSE)/1000</f>
        <v>11649.506</v>
      </c>
      <c r="H319" s="43">
        <f>ROUND(E319*VLOOKUP(C319,'Задание 2 (Справочник)'!$B$16:$C$18,2,FALSE),0)</f>
        <v>1056</v>
      </c>
      <c r="I319" s="43">
        <f t="shared" si="2"/>
        <v>5835.31</v>
      </c>
    </row>
    <row r="320" ht="13.5" customHeight="1">
      <c r="A320" s="1" t="s">
        <v>426</v>
      </c>
      <c r="B320" s="1" t="s">
        <v>77</v>
      </c>
      <c r="C320" s="41" t="str">
        <f t="shared" si="1"/>
        <v>Средний</v>
      </c>
      <c r="D320" s="42">
        <f>VLOOKUP(A320,'Задание 2 (Известные данные)'!$A$2:$D$501,2,FALSE)</f>
        <v>345210</v>
      </c>
      <c r="E320" s="43">
        <f>ROUND(D320*VLOOKUP(B320,'Задание 2 (Справочник)'!$B$8:$D$12,2,FALSE)/(1-VLOOKUP(B320,'Задание 2 (Справочник)'!$B$8:$D$12,3,FALSE)),0)</f>
        <v>258908</v>
      </c>
      <c r="F320" s="43">
        <f>VLOOKUP(A320,'Задание 2 (Известные данные)'!$A$2:$D$501,3,FALSE)</f>
        <v>220934</v>
      </c>
      <c r="G320" s="37">
        <f>F320*VLOOKUP(A320,'Задание 2 (Известные данные)'!$A$2:$D$501,4,FALSE)/1000</f>
        <v>23198.07</v>
      </c>
      <c r="H320" s="43">
        <f>ROUND(E320*VLOOKUP(C320,'Задание 2 (Справочник)'!$B$16:$C$18,2,FALSE),0)</f>
        <v>1942</v>
      </c>
      <c r="I320" s="43">
        <f t="shared" si="2"/>
        <v>11618.46</v>
      </c>
    </row>
    <row r="321" ht="13.5" customHeight="1">
      <c r="A321" s="1" t="s">
        <v>427</v>
      </c>
      <c r="B321" s="1" t="s">
        <v>77</v>
      </c>
      <c r="C321" s="41" t="str">
        <f t="shared" si="1"/>
        <v>Средний</v>
      </c>
      <c r="D321" s="42">
        <f>VLOOKUP(A321,'Задание 2 (Известные данные)'!$A$2:$D$501,2,FALSE)</f>
        <v>165432</v>
      </c>
      <c r="E321" s="43">
        <f>ROUND(D321*VLOOKUP(B321,'Задание 2 (Справочник)'!$B$8:$D$12,2,FALSE)/(1-VLOOKUP(B321,'Задание 2 (Справочник)'!$B$8:$D$12,3,FALSE)),0)</f>
        <v>124074</v>
      </c>
      <c r="F321" s="43">
        <f>VLOOKUP(A321,'Задание 2 (Известные данные)'!$A$2:$D$501,3,FALSE)</f>
        <v>105877</v>
      </c>
      <c r="G321" s="37">
        <f>F321*VLOOKUP(A321,'Задание 2 (Известные данные)'!$A$2:$D$501,4,FALSE)/1000</f>
        <v>10164.192</v>
      </c>
      <c r="H321" s="43">
        <f>ROUND(E321*VLOOKUP(C321,'Задание 2 (Справочник)'!$B$16:$C$18,2,FALSE),0)</f>
        <v>931</v>
      </c>
      <c r="I321" s="43">
        <f t="shared" si="2"/>
        <v>5091.41</v>
      </c>
    </row>
    <row r="322" ht="13.5" customHeight="1">
      <c r="A322" s="1" t="s">
        <v>428</v>
      </c>
      <c r="B322" s="1" t="s">
        <v>77</v>
      </c>
      <c r="C322" s="41" t="str">
        <f t="shared" si="1"/>
        <v>Средний</v>
      </c>
      <c r="D322" s="42">
        <f>VLOOKUP(A322,'Задание 2 (Известные данные)'!$A$2:$D$501,2,FALSE)</f>
        <v>278901</v>
      </c>
      <c r="E322" s="43">
        <f>ROUND(D322*VLOOKUP(B322,'Задание 2 (Справочник)'!$B$8:$D$12,2,FALSE)/(1-VLOOKUP(B322,'Задание 2 (Справочник)'!$B$8:$D$12,3,FALSE)),0)</f>
        <v>209176</v>
      </c>
      <c r="F322" s="43">
        <f>VLOOKUP(A322,'Задание 2 (Известные данные)'!$A$2:$D$501,3,FALSE)</f>
        <v>178497</v>
      </c>
      <c r="G322" s="37">
        <f>F322*VLOOKUP(A322,'Задание 2 (Известные данные)'!$A$2:$D$501,4,FALSE)/1000</f>
        <v>18028.197</v>
      </c>
      <c r="H322" s="43">
        <f>ROUND(E322*VLOOKUP(C322,'Задание 2 (Справочник)'!$B$16:$C$18,2,FALSE),0)</f>
        <v>1569</v>
      </c>
      <c r="I322" s="43">
        <f t="shared" si="2"/>
        <v>9029.79</v>
      </c>
    </row>
    <row r="323" ht="13.5" customHeight="1">
      <c r="A323" s="1" t="s">
        <v>429</v>
      </c>
      <c r="B323" s="1" t="s">
        <v>77</v>
      </c>
      <c r="C323" s="41" t="str">
        <f t="shared" si="1"/>
        <v>Средний</v>
      </c>
      <c r="D323" s="42">
        <f>VLOOKUP(A323,'Задание 2 (Известные данные)'!$A$2:$D$501,2,FALSE)</f>
        <v>199876</v>
      </c>
      <c r="E323" s="43">
        <f>ROUND(D323*VLOOKUP(B323,'Задание 2 (Справочник)'!$B$8:$D$12,2,FALSE)/(1-VLOOKUP(B323,'Задание 2 (Справочник)'!$B$8:$D$12,3,FALSE)),0)</f>
        <v>149907</v>
      </c>
      <c r="F323" s="43">
        <f>VLOOKUP(A323,'Задание 2 (Известные данные)'!$A$2:$D$501,3,FALSE)</f>
        <v>127921</v>
      </c>
      <c r="G323" s="37">
        <f>F323*VLOOKUP(A323,'Задание 2 (Известные данные)'!$A$2:$D$501,4,FALSE)/1000</f>
        <v>12664.179</v>
      </c>
      <c r="H323" s="43">
        <f>ROUND(E323*VLOOKUP(C323,'Задание 2 (Справочник)'!$B$16:$C$18,2,FALSE),0)</f>
        <v>1124</v>
      </c>
      <c r="I323" s="43">
        <f t="shared" si="2"/>
        <v>6343.33</v>
      </c>
    </row>
    <row r="324" ht="13.5" customHeight="1">
      <c r="A324" s="1" t="s">
        <v>430</v>
      </c>
      <c r="B324" s="1" t="s">
        <v>77</v>
      </c>
      <c r="C324" s="41" t="str">
        <f t="shared" si="1"/>
        <v>Маленький</v>
      </c>
      <c r="D324" s="42">
        <f>VLOOKUP(A324,'Задание 2 (Известные данные)'!$A$2:$D$501,2,FALSE)</f>
        <v>54321</v>
      </c>
      <c r="E324" s="43">
        <f>ROUND(D324*VLOOKUP(B324,'Задание 2 (Справочник)'!$B$8:$D$12,2,FALSE)/(1-VLOOKUP(B324,'Задание 2 (Справочник)'!$B$8:$D$12,3,FALSE)),0)</f>
        <v>40741</v>
      </c>
      <c r="F324" s="43">
        <f>VLOOKUP(A324,'Задание 2 (Известные данные)'!$A$2:$D$501,3,FALSE)</f>
        <v>34766</v>
      </c>
      <c r="G324" s="37">
        <f>F324*VLOOKUP(A324,'Задание 2 (Известные данные)'!$A$2:$D$501,4,FALSE)/1000</f>
        <v>2955.11</v>
      </c>
      <c r="H324" s="43">
        <f>ROUND(E324*VLOOKUP(C324,'Задание 2 (Справочник)'!$B$16:$C$18,2,FALSE),0)</f>
        <v>407</v>
      </c>
      <c r="I324" s="43">
        <f t="shared" si="2"/>
        <v>1481.63</v>
      </c>
    </row>
    <row r="325" ht="13.5" customHeight="1">
      <c r="A325" s="1" t="s">
        <v>431</v>
      </c>
      <c r="B325" s="1" t="s">
        <v>77</v>
      </c>
      <c r="C325" s="41" t="str">
        <f t="shared" si="1"/>
        <v>Маленький</v>
      </c>
      <c r="D325" s="42">
        <f>VLOOKUP(A325,'Задание 2 (Известные данные)'!$A$2:$D$501,2,FALSE)</f>
        <v>87654</v>
      </c>
      <c r="E325" s="43">
        <f>ROUND(D325*VLOOKUP(B325,'Задание 2 (Справочник)'!$B$8:$D$12,2,FALSE)/(1-VLOOKUP(B325,'Задание 2 (Справочник)'!$B$8:$D$12,3,FALSE)),0)</f>
        <v>65741</v>
      </c>
      <c r="F325" s="43">
        <f>VLOOKUP(A325,'Задание 2 (Известные данные)'!$A$2:$D$501,3,FALSE)</f>
        <v>56098</v>
      </c>
      <c r="G325" s="37">
        <f>F325*VLOOKUP(A325,'Задание 2 (Известные данные)'!$A$2:$D$501,4,FALSE)/1000</f>
        <v>5161.016</v>
      </c>
      <c r="H325" s="43">
        <f>ROUND(E325*VLOOKUP(C325,'Задание 2 (Справочник)'!$B$16:$C$18,2,FALSE),0)</f>
        <v>657</v>
      </c>
      <c r="I325" s="43">
        <f t="shared" si="2"/>
        <v>2587.08</v>
      </c>
    </row>
    <row r="326" ht="13.5" customHeight="1">
      <c r="A326" s="1" t="s">
        <v>432</v>
      </c>
      <c r="B326" s="1" t="s">
        <v>77</v>
      </c>
      <c r="C326" s="41" t="str">
        <f t="shared" si="1"/>
        <v>Маленький</v>
      </c>
      <c r="D326" s="42">
        <f>VLOOKUP(A326,'Задание 2 (Известные данные)'!$A$2:$D$501,2,FALSE)</f>
        <v>23456</v>
      </c>
      <c r="E326" s="43">
        <f>ROUND(D326*VLOOKUP(B326,'Задание 2 (Справочник)'!$B$8:$D$12,2,FALSE)/(1-VLOOKUP(B326,'Задание 2 (Справочник)'!$B$8:$D$12,3,FALSE)),0)</f>
        <v>17592</v>
      </c>
      <c r="F326" s="43">
        <f>VLOOKUP(A326,'Задание 2 (Известные данные)'!$A$2:$D$501,3,FALSE)</f>
        <v>15012</v>
      </c>
      <c r="G326" s="37">
        <f>F326*VLOOKUP(A326,'Задание 2 (Известные данные)'!$A$2:$D$501,4,FALSE)/1000</f>
        <v>1110.888</v>
      </c>
      <c r="H326" s="43">
        <f>ROUND(E326*VLOOKUP(C326,'Задание 2 (Справочник)'!$B$16:$C$18,2,FALSE),0)</f>
        <v>176</v>
      </c>
      <c r="I326" s="43">
        <f t="shared" si="2"/>
        <v>557.2</v>
      </c>
    </row>
    <row r="327" ht="13.5" customHeight="1">
      <c r="A327" s="1" t="s">
        <v>433</v>
      </c>
      <c r="B327" s="1" t="s">
        <v>77</v>
      </c>
      <c r="C327" s="41" t="str">
        <f t="shared" si="1"/>
        <v>Маленький</v>
      </c>
      <c r="D327" s="42">
        <f>VLOOKUP(A327,'Задание 2 (Известные данные)'!$A$2:$D$501,2,FALSE)</f>
        <v>98765</v>
      </c>
      <c r="E327" s="43">
        <f>ROUND(D327*VLOOKUP(B327,'Задание 2 (Справочник)'!$B$8:$D$12,2,FALSE)/(1-VLOOKUP(B327,'Задание 2 (Справочник)'!$B$8:$D$12,3,FALSE)),0)</f>
        <v>74074</v>
      </c>
      <c r="F327" s="43">
        <f>VLOOKUP(A327,'Задание 2 (Известные данные)'!$A$2:$D$501,3,FALSE)</f>
        <v>63210</v>
      </c>
      <c r="G327" s="37">
        <f>F327*VLOOKUP(A327,'Задание 2 (Известные данные)'!$A$2:$D$501,4,FALSE)/1000</f>
        <v>6068.16</v>
      </c>
      <c r="H327" s="43">
        <f>ROUND(E327*VLOOKUP(C327,'Задание 2 (Справочник)'!$B$16:$C$18,2,FALSE),0)</f>
        <v>741</v>
      </c>
      <c r="I327" s="43">
        <f t="shared" si="2"/>
        <v>3041.49</v>
      </c>
    </row>
    <row r="328" ht="13.5" customHeight="1">
      <c r="A328" s="1" t="s">
        <v>434</v>
      </c>
      <c r="B328" s="1" t="s">
        <v>77</v>
      </c>
      <c r="C328" s="41" t="str">
        <f t="shared" si="1"/>
        <v>Маленький</v>
      </c>
      <c r="D328" s="42">
        <f>VLOOKUP(A328,'Задание 2 (Известные данные)'!$A$2:$D$501,2,FALSE)</f>
        <v>34567</v>
      </c>
      <c r="E328" s="43">
        <f>ROUND(D328*VLOOKUP(B328,'Задание 2 (Справочник)'!$B$8:$D$12,2,FALSE)/(1-VLOOKUP(B328,'Задание 2 (Справочник)'!$B$8:$D$12,3,FALSE)),0)</f>
        <v>25925</v>
      </c>
      <c r="F328" s="43">
        <f>VLOOKUP(A328,'Задание 2 (Известные данные)'!$A$2:$D$501,3,FALSE)</f>
        <v>22123</v>
      </c>
      <c r="G328" s="37">
        <f>F328*VLOOKUP(A328,'Задание 2 (Известные данные)'!$A$2:$D$501,4,FALSE)/1000</f>
        <v>1791.963</v>
      </c>
      <c r="H328" s="43">
        <f>ROUND(E328*VLOOKUP(C328,'Задание 2 (Справочник)'!$B$16:$C$18,2,FALSE),0)</f>
        <v>259</v>
      </c>
      <c r="I328" s="43">
        <f t="shared" si="2"/>
        <v>898.57</v>
      </c>
    </row>
    <row r="329" ht="13.5" customHeight="1">
      <c r="A329" s="1" t="s">
        <v>435</v>
      </c>
      <c r="B329" s="1" t="s">
        <v>77</v>
      </c>
      <c r="C329" s="41" t="str">
        <f t="shared" si="1"/>
        <v>Маленький</v>
      </c>
      <c r="D329" s="42">
        <f>VLOOKUP(A329,'Задание 2 (Известные данные)'!$A$2:$D$501,2,FALSE)</f>
        <v>65432</v>
      </c>
      <c r="E329" s="43">
        <f>ROUND(D329*VLOOKUP(B329,'Задание 2 (Справочник)'!$B$8:$D$12,2,FALSE)/(1-VLOOKUP(B329,'Задание 2 (Справочник)'!$B$8:$D$12,3,FALSE)),0)</f>
        <v>49074</v>
      </c>
      <c r="F329" s="43">
        <f>VLOOKUP(A329,'Задание 2 (Известные данные)'!$A$2:$D$501,3,FALSE)</f>
        <v>41877</v>
      </c>
      <c r="G329" s="37">
        <f>F329*VLOOKUP(A329,'Задание 2 (Известные данные)'!$A$2:$D$501,4,FALSE)/1000</f>
        <v>3685.176</v>
      </c>
      <c r="H329" s="43">
        <f>ROUND(E329*VLOOKUP(C329,'Задание 2 (Справочник)'!$B$16:$C$18,2,FALSE),0)</f>
        <v>491</v>
      </c>
      <c r="I329" s="43">
        <f t="shared" si="2"/>
        <v>1847.5</v>
      </c>
    </row>
    <row r="330" ht="13.5" customHeight="1">
      <c r="A330" s="1" t="s">
        <v>436</v>
      </c>
      <c r="B330" s="1" t="s">
        <v>77</v>
      </c>
      <c r="C330" s="41" t="str">
        <f t="shared" si="1"/>
        <v>Маленький</v>
      </c>
      <c r="D330" s="42">
        <f>VLOOKUP(A330,'Задание 2 (Известные данные)'!$A$2:$D$501,2,FALSE)</f>
        <v>12345</v>
      </c>
      <c r="E330" s="43">
        <f>ROUND(D330*VLOOKUP(B330,'Задание 2 (Справочник)'!$B$8:$D$12,2,FALSE)/(1-VLOOKUP(B330,'Задание 2 (Справочник)'!$B$8:$D$12,3,FALSE)),0)</f>
        <v>9259</v>
      </c>
      <c r="F330" s="43">
        <f>VLOOKUP(A330,'Задание 2 (Известные данные)'!$A$2:$D$501,3,FALSE)</f>
        <v>7901</v>
      </c>
      <c r="G330" s="37">
        <f>F330*VLOOKUP(A330,'Задание 2 (Известные данные)'!$A$2:$D$501,4,FALSE)/1000</f>
        <v>545.169</v>
      </c>
      <c r="H330" s="43">
        <f>ROUND(E330*VLOOKUP(C330,'Задание 2 (Справочник)'!$B$16:$C$18,2,FALSE),0)</f>
        <v>93</v>
      </c>
      <c r="I330" s="43">
        <f t="shared" si="2"/>
        <v>273.51</v>
      </c>
    </row>
    <row r="331" ht="13.5" customHeight="1">
      <c r="A331" s="1" t="s">
        <v>437</v>
      </c>
      <c r="B331" s="1" t="s">
        <v>77</v>
      </c>
      <c r="C331" s="41" t="str">
        <f t="shared" si="1"/>
        <v>Маленький</v>
      </c>
      <c r="D331" s="42">
        <f>VLOOKUP(A331,'Задание 2 (Известные данные)'!$A$2:$D$501,2,FALSE)</f>
        <v>76543</v>
      </c>
      <c r="E331" s="43">
        <f>ROUND(D331*VLOOKUP(B331,'Задание 2 (Справочник)'!$B$8:$D$12,2,FALSE)/(1-VLOOKUP(B331,'Задание 2 (Справочник)'!$B$8:$D$12,3,FALSE)),0)</f>
        <v>57407</v>
      </c>
      <c r="F331" s="43">
        <f>VLOOKUP(A331,'Задание 2 (Известные данные)'!$A$2:$D$501,3,FALSE)</f>
        <v>48987</v>
      </c>
      <c r="G331" s="37">
        <f>F331*VLOOKUP(A331,'Задание 2 (Известные данные)'!$A$2:$D$501,4,FALSE)/1000</f>
        <v>4408.83</v>
      </c>
      <c r="H331" s="43">
        <f>ROUND(E331*VLOOKUP(C331,'Задание 2 (Справочник)'!$B$16:$C$18,2,FALSE),0)</f>
        <v>574</v>
      </c>
      <c r="I331" s="43">
        <f t="shared" si="2"/>
        <v>2210.16</v>
      </c>
    </row>
    <row r="332" ht="13.5" customHeight="1">
      <c r="A332" s="1" t="s">
        <v>438</v>
      </c>
      <c r="B332" s="1" t="s">
        <v>77</v>
      </c>
      <c r="C332" s="41" t="str">
        <f t="shared" si="1"/>
        <v>Маленький</v>
      </c>
      <c r="D332" s="42">
        <f>VLOOKUP(A332,'Задание 2 (Известные данные)'!$A$2:$D$501,2,FALSE)</f>
        <v>43210</v>
      </c>
      <c r="E332" s="43">
        <f>ROUND(D332*VLOOKUP(B332,'Задание 2 (Справочник)'!$B$8:$D$12,2,FALSE)/(1-VLOOKUP(B332,'Задание 2 (Справочник)'!$B$8:$D$12,3,FALSE)),0)</f>
        <v>32408</v>
      </c>
      <c r="F332" s="43">
        <f>VLOOKUP(A332,'Задание 2 (Известные данные)'!$A$2:$D$501,3,FALSE)</f>
        <v>27654</v>
      </c>
      <c r="G332" s="37">
        <f>F332*VLOOKUP(A332,'Задание 2 (Известные данные)'!$A$2:$D$501,4,FALSE)/1000</f>
        <v>2157.012</v>
      </c>
      <c r="H332" s="43">
        <f>ROUND(E332*VLOOKUP(C332,'Задание 2 (Справочник)'!$B$16:$C$18,2,FALSE),0)</f>
        <v>324</v>
      </c>
      <c r="I332" s="43">
        <f t="shared" si="2"/>
        <v>1081.75</v>
      </c>
    </row>
    <row r="333" ht="13.5" customHeight="1">
      <c r="A333" s="1" t="s">
        <v>439</v>
      </c>
      <c r="B333" s="1" t="s">
        <v>77</v>
      </c>
      <c r="C333" s="41" t="str">
        <f t="shared" si="1"/>
        <v>Маленький</v>
      </c>
      <c r="D333" s="42">
        <f>VLOOKUP(A333,'Задание 2 (Известные данные)'!$A$2:$D$501,2,FALSE)</f>
        <v>56789</v>
      </c>
      <c r="E333" s="43">
        <f>ROUND(D333*VLOOKUP(B333,'Задание 2 (Справочник)'!$B$8:$D$12,2,FALSE)/(1-VLOOKUP(B333,'Задание 2 (Справочник)'!$B$8:$D$12,3,FALSE)),0)</f>
        <v>42592</v>
      </c>
      <c r="F333" s="43">
        <f>VLOOKUP(A333,'Задание 2 (Известные данные)'!$A$2:$D$501,3,FALSE)</f>
        <v>36345</v>
      </c>
      <c r="G333" s="37">
        <f>F333*VLOOKUP(A333,'Задание 2 (Известные данные)'!$A$2:$D$501,4,FALSE)/1000</f>
        <v>3125.67</v>
      </c>
      <c r="H333" s="43">
        <f>ROUND(E333*VLOOKUP(C333,'Задание 2 (Справочник)'!$B$16:$C$18,2,FALSE),0)</f>
        <v>426</v>
      </c>
      <c r="I333" s="43">
        <f t="shared" si="2"/>
        <v>1567.1</v>
      </c>
    </row>
    <row r="334" ht="13.5" customHeight="1">
      <c r="A334" s="1" t="s">
        <v>440</v>
      </c>
      <c r="B334" s="1" t="s">
        <v>77</v>
      </c>
      <c r="C334" s="41" t="str">
        <f t="shared" si="1"/>
        <v>Маленький</v>
      </c>
      <c r="D334" s="42">
        <f>VLOOKUP(A334,'Задание 2 (Известные данные)'!$A$2:$D$501,2,FALSE)</f>
        <v>87654</v>
      </c>
      <c r="E334" s="43">
        <f>ROUND(D334*VLOOKUP(B334,'Задание 2 (Справочник)'!$B$8:$D$12,2,FALSE)/(1-VLOOKUP(B334,'Задание 2 (Справочник)'!$B$8:$D$12,3,FALSE)),0)</f>
        <v>65741</v>
      </c>
      <c r="F334" s="43">
        <f>VLOOKUP(A334,'Задание 2 (Известные данные)'!$A$2:$D$501,3,FALSE)</f>
        <v>56098</v>
      </c>
      <c r="G334" s="37">
        <f>F334*VLOOKUP(A334,'Задание 2 (Известные данные)'!$A$2:$D$501,4,FALSE)/1000</f>
        <v>5217.114</v>
      </c>
      <c r="H334" s="43">
        <f>ROUND(E334*VLOOKUP(C334,'Задание 2 (Справочник)'!$B$16:$C$18,2,FALSE),0)</f>
        <v>657</v>
      </c>
      <c r="I334" s="43">
        <f t="shared" si="2"/>
        <v>2615.13</v>
      </c>
    </row>
    <row r="335" ht="13.5" customHeight="1">
      <c r="A335" s="1" t="s">
        <v>441</v>
      </c>
      <c r="B335" s="1" t="s">
        <v>77</v>
      </c>
      <c r="C335" s="41" t="str">
        <f t="shared" si="1"/>
        <v>Маленький</v>
      </c>
      <c r="D335" s="42">
        <f>VLOOKUP(A335,'Задание 2 (Известные данные)'!$A$2:$D$501,2,FALSE)</f>
        <v>23456</v>
      </c>
      <c r="E335" s="43">
        <f>ROUND(D335*VLOOKUP(B335,'Задание 2 (Справочник)'!$B$8:$D$12,2,FALSE)/(1-VLOOKUP(B335,'Задание 2 (Справочник)'!$B$8:$D$12,3,FALSE)),0)</f>
        <v>17592</v>
      </c>
      <c r="F335" s="43">
        <f>VLOOKUP(A335,'Задание 2 (Известные данные)'!$A$2:$D$501,3,FALSE)</f>
        <v>15012</v>
      </c>
      <c r="G335" s="37">
        <f>F335*VLOOKUP(A335,'Задание 2 (Известные данные)'!$A$2:$D$501,4,FALSE)/1000</f>
        <v>1125.9</v>
      </c>
      <c r="H335" s="43">
        <f>ROUND(E335*VLOOKUP(C335,'Задание 2 (Справочник)'!$B$16:$C$18,2,FALSE),0)</f>
        <v>176</v>
      </c>
      <c r="I335" s="43">
        <f t="shared" si="2"/>
        <v>564.71</v>
      </c>
    </row>
    <row r="336" ht="13.5" customHeight="1">
      <c r="A336" s="1" t="s">
        <v>442</v>
      </c>
      <c r="B336" s="1" t="s">
        <v>77</v>
      </c>
      <c r="C336" s="41" t="str">
        <f t="shared" si="1"/>
        <v>Маленький</v>
      </c>
      <c r="D336" s="42">
        <f>VLOOKUP(A336,'Задание 2 (Известные данные)'!$A$2:$D$501,2,FALSE)</f>
        <v>98765</v>
      </c>
      <c r="E336" s="43">
        <f>ROUND(D336*VLOOKUP(B336,'Задание 2 (Справочник)'!$B$8:$D$12,2,FALSE)/(1-VLOOKUP(B336,'Задание 2 (Справочник)'!$B$8:$D$12,3,FALSE)),0)</f>
        <v>74074</v>
      </c>
      <c r="F336" s="43">
        <f>VLOOKUP(A336,'Задание 2 (Известные данные)'!$A$2:$D$501,3,FALSE)</f>
        <v>63210</v>
      </c>
      <c r="G336" s="37">
        <f>F336*VLOOKUP(A336,'Задание 2 (Известные данные)'!$A$2:$D$501,4,FALSE)/1000</f>
        <v>6131.37</v>
      </c>
      <c r="H336" s="43">
        <f>ROUND(E336*VLOOKUP(C336,'Задание 2 (Справочник)'!$B$16:$C$18,2,FALSE),0)</f>
        <v>741</v>
      </c>
      <c r="I336" s="43">
        <f t="shared" si="2"/>
        <v>3073.1</v>
      </c>
    </row>
    <row r="337" ht="13.5" customHeight="1">
      <c r="A337" s="1" t="s">
        <v>443</v>
      </c>
      <c r="B337" s="1" t="s">
        <v>77</v>
      </c>
      <c r="C337" s="41" t="str">
        <f t="shared" si="1"/>
        <v>Маленький</v>
      </c>
      <c r="D337" s="42">
        <f>VLOOKUP(A337,'Задание 2 (Известные данные)'!$A$2:$D$501,2,FALSE)</f>
        <v>34567</v>
      </c>
      <c r="E337" s="43">
        <f>ROUND(D337*VLOOKUP(B337,'Задание 2 (Справочник)'!$B$8:$D$12,2,FALSE)/(1-VLOOKUP(B337,'Задание 2 (Справочник)'!$B$8:$D$12,3,FALSE)),0)</f>
        <v>25925</v>
      </c>
      <c r="F337" s="43">
        <f>VLOOKUP(A337,'Задание 2 (Известные данные)'!$A$2:$D$501,3,FALSE)</f>
        <v>22123</v>
      </c>
      <c r="G337" s="37">
        <f>F337*VLOOKUP(A337,'Задание 2 (Известные данные)'!$A$2:$D$501,4,FALSE)/1000</f>
        <v>1814.086</v>
      </c>
      <c r="H337" s="43">
        <f>ROUND(E337*VLOOKUP(C337,'Задание 2 (Справочник)'!$B$16:$C$18,2,FALSE),0)</f>
        <v>259</v>
      </c>
      <c r="I337" s="43">
        <f t="shared" si="2"/>
        <v>909.63</v>
      </c>
    </row>
    <row r="338" ht="13.5" customHeight="1">
      <c r="A338" s="1" t="s">
        <v>444</v>
      </c>
      <c r="B338" s="1" t="s">
        <v>77</v>
      </c>
      <c r="C338" s="41" t="str">
        <f t="shared" si="1"/>
        <v>Маленький</v>
      </c>
      <c r="D338" s="42">
        <f>VLOOKUP(A338,'Задание 2 (Известные данные)'!$A$2:$D$501,2,FALSE)</f>
        <v>65432</v>
      </c>
      <c r="E338" s="43">
        <f>ROUND(D338*VLOOKUP(B338,'Задание 2 (Справочник)'!$B$8:$D$12,2,FALSE)/(1-VLOOKUP(B338,'Задание 2 (Справочник)'!$B$8:$D$12,3,FALSE)),0)</f>
        <v>49074</v>
      </c>
      <c r="F338" s="43">
        <f>VLOOKUP(A338,'Задание 2 (Известные данные)'!$A$2:$D$501,3,FALSE)</f>
        <v>41877</v>
      </c>
      <c r="G338" s="37">
        <f>F338*VLOOKUP(A338,'Задание 2 (Известные данные)'!$A$2:$D$501,4,FALSE)/1000</f>
        <v>3727.053</v>
      </c>
      <c r="H338" s="43">
        <f>ROUND(E338*VLOOKUP(C338,'Задание 2 (Справочник)'!$B$16:$C$18,2,FALSE),0)</f>
        <v>491</v>
      </c>
      <c r="I338" s="43">
        <f t="shared" si="2"/>
        <v>1868.44</v>
      </c>
    </row>
    <row r="339" ht="13.5" customHeight="1">
      <c r="A339" s="1" t="s">
        <v>445</v>
      </c>
      <c r="B339" s="1" t="s">
        <v>77</v>
      </c>
      <c r="C339" s="41" t="str">
        <f t="shared" si="1"/>
        <v>Маленький</v>
      </c>
      <c r="D339" s="42">
        <f>VLOOKUP(A339,'Задание 2 (Известные данные)'!$A$2:$D$501,2,FALSE)</f>
        <v>12345</v>
      </c>
      <c r="E339" s="43">
        <f>ROUND(D339*VLOOKUP(B339,'Задание 2 (Справочник)'!$B$8:$D$12,2,FALSE)/(1-VLOOKUP(B339,'Задание 2 (Справочник)'!$B$8:$D$12,3,FALSE)),0)</f>
        <v>9259</v>
      </c>
      <c r="F339" s="43">
        <f>VLOOKUP(A339,'Задание 2 (Известные данные)'!$A$2:$D$501,3,FALSE)</f>
        <v>7901</v>
      </c>
      <c r="G339" s="37">
        <f>F339*VLOOKUP(A339,'Задание 2 (Известные данные)'!$A$2:$D$501,4,FALSE)/1000</f>
        <v>537.268</v>
      </c>
      <c r="H339" s="43">
        <f>ROUND(E339*VLOOKUP(C339,'Задание 2 (Справочник)'!$B$16:$C$18,2,FALSE),0)</f>
        <v>93</v>
      </c>
      <c r="I339" s="43">
        <f t="shared" si="2"/>
        <v>269.56</v>
      </c>
    </row>
    <row r="340" ht="13.5" customHeight="1">
      <c r="A340" s="1" t="s">
        <v>446</v>
      </c>
      <c r="B340" s="1" t="s">
        <v>77</v>
      </c>
      <c r="C340" s="41" t="str">
        <f t="shared" si="1"/>
        <v>Маленький</v>
      </c>
      <c r="D340" s="42">
        <f>VLOOKUP(A340,'Задание 2 (Известные данные)'!$A$2:$D$501,2,FALSE)</f>
        <v>76543</v>
      </c>
      <c r="E340" s="43">
        <f>ROUND(D340*VLOOKUP(B340,'Задание 2 (Справочник)'!$B$8:$D$12,2,FALSE)/(1-VLOOKUP(B340,'Задание 2 (Справочник)'!$B$8:$D$12,3,FALSE)),0)</f>
        <v>57407</v>
      </c>
      <c r="F340" s="43">
        <f>VLOOKUP(A340,'Задание 2 (Известные данные)'!$A$2:$D$501,3,FALSE)</f>
        <v>48987</v>
      </c>
      <c r="G340" s="37">
        <f>F340*VLOOKUP(A340,'Задание 2 (Известные данные)'!$A$2:$D$501,4,FALSE)/1000</f>
        <v>4457.817</v>
      </c>
      <c r="H340" s="43">
        <f>ROUND(E340*VLOOKUP(C340,'Задание 2 (Справочник)'!$B$16:$C$18,2,FALSE),0)</f>
        <v>574</v>
      </c>
      <c r="I340" s="43">
        <f t="shared" si="2"/>
        <v>2234.65</v>
      </c>
    </row>
    <row r="341" ht="13.5" customHeight="1">
      <c r="A341" s="1" t="s">
        <v>447</v>
      </c>
      <c r="B341" s="1" t="s">
        <v>77</v>
      </c>
      <c r="C341" s="41" t="str">
        <f t="shared" si="1"/>
        <v>Маленький</v>
      </c>
      <c r="D341" s="42">
        <f>VLOOKUP(A341,'Задание 2 (Известные данные)'!$A$2:$D$501,2,FALSE)</f>
        <v>43210</v>
      </c>
      <c r="E341" s="43">
        <f>ROUND(D341*VLOOKUP(B341,'Задание 2 (Справочник)'!$B$8:$D$12,2,FALSE)/(1-VLOOKUP(B341,'Задание 2 (Справочник)'!$B$8:$D$12,3,FALSE)),0)</f>
        <v>32408</v>
      </c>
      <c r="F341" s="43">
        <f>VLOOKUP(A341,'Задание 2 (Известные данные)'!$A$2:$D$501,3,FALSE)</f>
        <v>27654</v>
      </c>
      <c r="G341" s="37">
        <f>F341*VLOOKUP(A341,'Задание 2 (Известные данные)'!$A$2:$D$501,4,FALSE)/1000</f>
        <v>2184.666</v>
      </c>
      <c r="H341" s="43">
        <f>ROUND(E341*VLOOKUP(C341,'Задание 2 (Справочник)'!$B$16:$C$18,2,FALSE),0)</f>
        <v>324</v>
      </c>
      <c r="I341" s="43">
        <f t="shared" si="2"/>
        <v>1095.57</v>
      </c>
    </row>
    <row r="342" ht="13.5" customHeight="1">
      <c r="A342" s="1" t="s">
        <v>448</v>
      </c>
      <c r="B342" s="1" t="s">
        <v>77</v>
      </c>
      <c r="C342" s="41" t="str">
        <f t="shared" si="1"/>
        <v>Маленький</v>
      </c>
      <c r="D342" s="42">
        <f>VLOOKUP(A342,'Задание 2 (Известные данные)'!$A$2:$D$501,2,FALSE)</f>
        <v>56789</v>
      </c>
      <c r="E342" s="43">
        <f>ROUND(D342*VLOOKUP(B342,'Задание 2 (Справочник)'!$B$8:$D$12,2,FALSE)/(1-VLOOKUP(B342,'Задание 2 (Справочник)'!$B$8:$D$12,3,FALSE)),0)</f>
        <v>42592</v>
      </c>
      <c r="F342" s="43">
        <f>VLOOKUP(A342,'Задание 2 (Известные данные)'!$A$2:$D$501,3,FALSE)</f>
        <v>36345</v>
      </c>
      <c r="G342" s="37">
        <f>F342*VLOOKUP(A342,'Задание 2 (Известные данные)'!$A$2:$D$501,4,FALSE)/1000</f>
        <v>3162.015</v>
      </c>
      <c r="H342" s="43">
        <f>ROUND(E342*VLOOKUP(C342,'Задание 2 (Справочник)'!$B$16:$C$18,2,FALSE),0)</f>
        <v>426</v>
      </c>
      <c r="I342" s="43">
        <f t="shared" si="2"/>
        <v>1585.27</v>
      </c>
    </row>
    <row r="343" ht="13.5" customHeight="1">
      <c r="A343" s="1" t="s">
        <v>449</v>
      </c>
      <c r="B343" s="1" t="s">
        <v>77</v>
      </c>
      <c r="C343" s="41" t="str">
        <f t="shared" si="1"/>
        <v>Маленький</v>
      </c>
      <c r="D343" s="42">
        <f>VLOOKUP(A343,'Задание 2 (Известные данные)'!$A$2:$D$501,2,FALSE)</f>
        <v>87654</v>
      </c>
      <c r="E343" s="43">
        <f>ROUND(D343*VLOOKUP(B343,'Задание 2 (Справочник)'!$B$8:$D$12,2,FALSE)/(1-VLOOKUP(B343,'Задание 2 (Справочник)'!$B$8:$D$12,3,FALSE)),0)</f>
        <v>65741</v>
      </c>
      <c r="F343" s="43">
        <f>VLOOKUP(A343,'Задание 2 (Известные данные)'!$A$2:$D$501,3,FALSE)</f>
        <v>56098</v>
      </c>
      <c r="G343" s="37">
        <f>F343*VLOOKUP(A343,'Задание 2 (Известные данные)'!$A$2:$D$501,4,FALSE)/1000</f>
        <v>5273.212</v>
      </c>
      <c r="H343" s="43">
        <f>ROUND(E343*VLOOKUP(C343,'Задание 2 (Справочник)'!$B$16:$C$18,2,FALSE),0)</f>
        <v>657</v>
      </c>
      <c r="I343" s="43">
        <f t="shared" si="2"/>
        <v>2643.18</v>
      </c>
    </row>
    <row r="344" ht="13.5" customHeight="1">
      <c r="A344" s="1" t="s">
        <v>450</v>
      </c>
      <c r="B344" s="1" t="s">
        <v>77</v>
      </c>
      <c r="C344" s="41" t="str">
        <f t="shared" si="1"/>
        <v>Маленький</v>
      </c>
      <c r="D344" s="42">
        <f>VLOOKUP(A344,'Задание 2 (Известные данные)'!$A$2:$D$501,2,FALSE)</f>
        <v>23456</v>
      </c>
      <c r="E344" s="43">
        <f>ROUND(D344*VLOOKUP(B344,'Задание 2 (Справочник)'!$B$8:$D$12,2,FALSE)/(1-VLOOKUP(B344,'Задание 2 (Справочник)'!$B$8:$D$12,3,FALSE)),0)</f>
        <v>17592</v>
      </c>
      <c r="F344" s="43">
        <f>VLOOKUP(A344,'Задание 2 (Известные данные)'!$A$2:$D$501,3,FALSE)</f>
        <v>15012</v>
      </c>
      <c r="G344" s="37">
        <f>F344*VLOOKUP(A344,'Задание 2 (Известные данные)'!$A$2:$D$501,4,FALSE)/1000</f>
        <v>1095.876</v>
      </c>
      <c r="H344" s="43">
        <f>ROUND(E344*VLOOKUP(C344,'Задание 2 (Справочник)'!$B$16:$C$18,2,FALSE),0)</f>
        <v>176</v>
      </c>
      <c r="I344" s="43">
        <f t="shared" si="2"/>
        <v>549.7</v>
      </c>
    </row>
    <row r="345" ht="13.5" customHeight="1">
      <c r="A345" s="1" t="s">
        <v>451</v>
      </c>
      <c r="B345" s="1" t="s">
        <v>77</v>
      </c>
      <c r="C345" s="41" t="str">
        <f t="shared" si="1"/>
        <v>Маленький</v>
      </c>
      <c r="D345" s="42">
        <f>VLOOKUP(A345,'Задание 2 (Известные данные)'!$A$2:$D$501,2,FALSE)</f>
        <v>98765</v>
      </c>
      <c r="E345" s="43">
        <f>ROUND(D345*VLOOKUP(B345,'Задание 2 (Справочник)'!$B$8:$D$12,2,FALSE)/(1-VLOOKUP(B345,'Задание 2 (Справочник)'!$B$8:$D$12,3,FALSE)),0)</f>
        <v>74074</v>
      </c>
      <c r="F345" s="43">
        <f>VLOOKUP(A345,'Задание 2 (Известные данные)'!$A$2:$D$501,3,FALSE)</f>
        <v>63210</v>
      </c>
      <c r="G345" s="37">
        <f>F345*VLOOKUP(A345,'Задание 2 (Известные данные)'!$A$2:$D$501,4,FALSE)/1000</f>
        <v>6194.58</v>
      </c>
      <c r="H345" s="43">
        <f>ROUND(E345*VLOOKUP(C345,'Задание 2 (Справочник)'!$B$16:$C$18,2,FALSE),0)</f>
        <v>741</v>
      </c>
      <c r="I345" s="43">
        <f t="shared" si="2"/>
        <v>3104.7</v>
      </c>
    </row>
    <row r="346" ht="13.5" customHeight="1">
      <c r="A346" s="1" t="s">
        <v>452</v>
      </c>
      <c r="B346" s="1" t="s">
        <v>77</v>
      </c>
      <c r="C346" s="41" t="str">
        <f t="shared" si="1"/>
        <v>Маленький</v>
      </c>
      <c r="D346" s="42">
        <f>VLOOKUP(A346,'Задание 2 (Известные данные)'!$A$2:$D$501,2,FALSE)</f>
        <v>34567</v>
      </c>
      <c r="E346" s="43">
        <f>ROUND(D346*VLOOKUP(B346,'Задание 2 (Справочник)'!$B$8:$D$12,2,FALSE)/(1-VLOOKUP(B346,'Задание 2 (Справочник)'!$B$8:$D$12,3,FALSE)),0)</f>
        <v>25925</v>
      </c>
      <c r="F346" s="43">
        <f>VLOOKUP(A346,'Задание 2 (Известные данные)'!$A$2:$D$501,3,FALSE)</f>
        <v>22123</v>
      </c>
      <c r="G346" s="37">
        <f>F346*VLOOKUP(A346,'Задание 2 (Известные данные)'!$A$2:$D$501,4,FALSE)/1000</f>
        <v>1836.209</v>
      </c>
      <c r="H346" s="43">
        <f>ROUND(E346*VLOOKUP(C346,'Задание 2 (Справочник)'!$B$16:$C$18,2,FALSE),0)</f>
        <v>259</v>
      </c>
      <c r="I346" s="43">
        <f t="shared" si="2"/>
        <v>920.69</v>
      </c>
    </row>
    <row r="347" ht="13.5" customHeight="1">
      <c r="A347" s="1" t="s">
        <v>453</v>
      </c>
      <c r="B347" s="1" t="s">
        <v>77</v>
      </c>
      <c r="C347" s="41" t="str">
        <f t="shared" si="1"/>
        <v>Маленький</v>
      </c>
      <c r="D347" s="42">
        <f>VLOOKUP(A347,'Задание 2 (Известные данные)'!$A$2:$D$501,2,FALSE)</f>
        <v>65432</v>
      </c>
      <c r="E347" s="43">
        <f>ROUND(D347*VLOOKUP(B347,'Задание 2 (Справочник)'!$B$8:$D$12,2,FALSE)/(1-VLOOKUP(B347,'Задание 2 (Справочник)'!$B$8:$D$12,3,FALSE)),0)</f>
        <v>49074</v>
      </c>
      <c r="F347" s="43">
        <f>VLOOKUP(A347,'Задание 2 (Известные данные)'!$A$2:$D$501,3,FALSE)</f>
        <v>41877</v>
      </c>
      <c r="G347" s="37">
        <f>F347*VLOOKUP(A347,'Задание 2 (Известные данные)'!$A$2:$D$501,4,FALSE)/1000</f>
        <v>3768.93</v>
      </c>
      <c r="H347" s="43">
        <f>ROUND(E347*VLOOKUP(C347,'Задание 2 (Справочник)'!$B$16:$C$18,2,FALSE),0)</f>
        <v>491</v>
      </c>
      <c r="I347" s="43">
        <f t="shared" si="2"/>
        <v>1889.38</v>
      </c>
    </row>
    <row r="348" ht="13.5" customHeight="1">
      <c r="A348" s="1" t="s">
        <v>454</v>
      </c>
      <c r="B348" s="1" t="s">
        <v>77</v>
      </c>
      <c r="C348" s="41" t="str">
        <f t="shared" si="1"/>
        <v>Маленький</v>
      </c>
      <c r="D348" s="42">
        <f>VLOOKUP(A348,'Задание 2 (Известные данные)'!$A$2:$D$501,2,FALSE)</f>
        <v>12345</v>
      </c>
      <c r="E348" s="43">
        <f>ROUND(D348*VLOOKUP(B348,'Задание 2 (Справочник)'!$B$8:$D$12,2,FALSE)/(1-VLOOKUP(B348,'Задание 2 (Справочник)'!$B$8:$D$12,3,FALSE)),0)</f>
        <v>9259</v>
      </c>
      <c r="F348" s="43">
        <f>VLOOKUP(A348,'Задание 2 (Известные данные)'!$A$2:$D$501,3,FALSE)</f>
        <v>7901</v>
      </c>
      <c r="G348" s="37">
        <f>F348*VLOOKUP(A348,'Задание 2 (Известные данные)'!$A$2:$D$501,4,FALSE)/1000</f>
        <v>529.367</v>
      </c>
      <c r="H348" s="43">
        <f>ROUND(E348*VLOOKUP(C348,'Задание 2 (Справочник)'!$B$16:$C$18,2,FALSE),0)</f>
        <v>93</v>
      </c>
      <c r="I348" s="43">
        <f t="shared" si="2"/>
        <v>265.61</v>
      </c>
    </row>
    <row r="349" ht="13.5" customHeight="1">
      <c r="A349" s="1" t="s">
        <v>455</v>
      </c>
      <c r="B349" s="1" t="s">
        <v>77</v>
      </c>
      <c r="C349" s="41" t="str">
        <f t="shared" si="1"/>
        <v>Маленький</v>
      </c>
      <c r="D349" s="42">
        <f>VLOOKUP(A349,'Задание 2 (Известные данные)'!$A$2:$D$501,2,FALSE)</f>
        <v>76543</v>
      </c>
      <c r="E349" s="43">
        <f>ROUND(D349*VLOOKUP(B349,'Задание 2 (Справочник)'!$B$8:$D$12,2,FALSE)/(1-VLOOKUP(B349,'Задание 2 (Справочник)'!$B$8:$D$12,3,FALSE)),0)</f>
        <v>57407</v>
      </c>
      <c r="F349" s="43">
        <f>VLOOKUP(A349,'Задание 2 (Известные данные)'!$A$2:$D$501,3,FALSE)</f>
        <v>48987</v>
      </c>
      <c r="G349" s="37">
        <f>F349*VLOOKUP(A349,'Задание 2 (Известные данные)'!$A$2:$D$501,4,FALSE)/1000</f>
        <v>4506.804</v>
      </c>
      <c r="H349" s="43">
        <f>ROUND(E349*VLOOKUP(C349,'Задание 2 (Справочник)'!$B$16:$C$18,2,FALSE),0)</f>
        <v>574</v>
      </c>
      <c r="I349" s="43">
        <f t="shared" si="2"/>
        <v>2259.14</v>
      </c>
    </row>
    <row r="350" ht="13.5" customHeight="1">
      <c r="A350" s="1" t="s">
        <v>456</v>
      </c>
      <c r="B350" s="1" t="s">
        <v>77</v>
      </c>
      <c r="C350" s="41" t="str">
        <f t="shared" si="1"/>
        <v>Маленький</v>
      </c>
      <c r="D350" s="42">
        <f>VLOOKUP(A350,'Задание 2 (Известные данные)'!$A$2:$D$501,2,FALSE)</f>
        <v>43210</v>
      </c>
      <c r="E350" s="43">
        <f>ROUND(D350*VLOOKUP(B350,'Задание 2 (Справочник)'!$B$8:$D$12,2,FALSE)/(1-VLOOKUP(B350,'Задание 2 (Справочник)'!$B$8:$D$12,3,FALSE)),0)</f>
        <v>32408</v>
      </c>
      <c r="F350" s="43">
        <f>VLOOKUP(A350,'Задание 2 (Известные данные)'!$A$2:$D$501,3,FALSE)</f>
        <v>27654</v>
      </c>
      <c r="G350" s="37">
        <f>F350*VLOOKUP(A350,'Задание 2 (Известные данные)'!$A$2:$D$501,4,FALSE)/1000</f>
        <v>2212.32</v>
      </c>
      <c r="H350" s="43">
        <f>ROUND(E350*VLOOKUP(C350,'Задание 2 (Справочник)'!$B$16:$C$18,2,FALSE),0)</f>
        <v>324</v>
      </c>
      <c r="I350" s="43">
        <f t="shared" si="2"/>
        <v>1109.4</v>
      </c>
    </row>
    <row r="351" ht="13.5" customHeight="1">
      <c r="A351" s="1" t="s">
        <v>457</v>
      </c>
      <c r="B351" s="1" t="s">
        <v>77</v>
      </c>
      <c r="C351" s="41" t="str">
        <f t="shared" si="1"/>
        <v>Маленький</v>
      </c>
      <c r="D351" s="42">
        <f>VLOOKUP(A351,'Задание 2 (Известные данные)'!$A$2:$D$501,2,FALSE)</f>
        <v>56789</v>
      </c>
      <c r="E351" s="43">
        <f>ROUND(D351*VLOOKUP(B351,'Задание 2 (Справочник)'!$B$8:$D$12,2,FALSE)/(1-VLOOKUP(B351,'Задание 2 (Справочник)'!$B$8:$D$12,3,FALSE)),0)</f>
        <v>42592</v>
      </c>
      <c r="F351" s="43">
        <f>VLOOKUP(A351,'Задание 2 (Известные данные)'!$A$2:$D$501,3,FALSE)</f>
        <v>36345</v>
      </c>
      <c r="G351" s="37">
        <f>F351*VLOOKUP(A351,'Задание 2 (Известные данные)'!$A$2:$D$501,4,FALSE)/1000</f>
        <v>3052.98</v>
      </c>
      <c r="H351" s="43">
        <f>ROUND(E351*VLOOKUP(C351,'Задание 2 (Справочник)'!$B$16:$C$18,2,FALSE),0)</f>
        <v>426</v>
      </c>
      <c r="I351" s="43">
        <f t="shared" si="2"/>
        <v>1530.75</v>
      </c>
    </row>
    <row r="352" ht="13.5" customHeight="1">
      <c r="A352" s="1" t="s">
        <v>458</v>
      </c>
      <c r="B352" s="1" t="s">
        <v>77</v>
      </c>
      <c r="C352" s="41" t="str">
        <f t="shared" si="1"/>
        <v>Маленький</v>
      </c>
      <c r="D352" s="42">
        <f>VLOOKUP(A352,'Задание 2 (Известные данные)'!$A$2:$D$501,2,FALSE)</f>
        <v>87654</v>
      </c>
      <c r="E352" s="43">
        <f>ROUND(D352*VLOOKUP(B352,'Задание 2 (Справочник)'!$B$8:$D$12,2,FALSE)/(1-VLOOKUP(B352,'Задание 2 (Справочник)'!$B$8:$D$12,3,FALSE)),0)</f>
        <v>65741</v>
      </c>
      <c r="F352" s="43">
        <f>VLOOKUP(A352,'Задание 2 (Известные данные)'!$A$2:$D$501,3,FALSE)</f>
        <v>56098</v>
      </c>
      <c r="G352" s="37">
        <f>F352*VLOOKUP(A352,'Задание 2 (Известные данные)'!$A$2:$D$501,4,FALSE)/1000</f>
        <v>5329.31</v>
      </c>
      <c r="H352" s="43">
        <f>ROUND(E352*VLOOKUP(C352,'Задание 2 (Справочник)'!$B$16:$C$18,2,FALSE),0)</f>
        <v>657</v>
      </c>
      <c r="I352" s="43">
        <f t="shared" si="2"/>
        <v>2671.23</v>
      </c>
    </row>
    <row r="353" ht="13.5" customHeight="1">
      <c r="A353" s="1" t="s">
        <v>459</v>
      </c>
      <c r="B353" s="1" t="s">
        <v>78</v>
      </c>
      <c r="C353" s="41" t="str">
        <f t="shared" si="1"/>
        <v>Большой</v>
      </c>
      <c r="D353" s="42">
        <f>VLOOKUP(A353,'Задание 2 (Известные данные)'!$A$2:$D$501,2,FALSE)</f>
        <v>2876543</v>
      </c>
      <c r="E353" s="43">
        <f>ROUND(D353*VLOOKUP(B353,'Задание 2 (Справочник)'!$B$8:$D$12,2,FALSE)/(1-VLOOKUP(B353,'Задание 2 (Справочник)'!$B$8:$D$12,3,FALSE)),0)</f>
        <v>2397119</v>
      </c>
      <c r="F353" s="43">
        <f>VLOOKUP(A353,'Задание 2 (Известные данные)'!$A$2:$D$501,3,FALSE)</f>
        <v>1812222</v>
      </c>
      <c r="G353" s="37">
        <f>F353*VLOOKUP(A353,'Задание 2 (Известные данные)'!$A$2:$D$501,4,FALSE)/1000</f>
        <v>244649.97</v>
      </c>
      <c r="H353" s="43">
        <f>ROUND(E353*VLOOKUP(C353,'Задание 2 (Справочник)'!$B$16:$C$18,2,FALSE),0)</f>
        <v>11986</v>
      </c>
      <c r="I353" s="43">
        <f t="shared" si="2"/>
        <v>122444.85</v>
      </c>
    </row>
    <row r="354" ht="13.5" customHeight="1">
      <c r="A354" s="1" t="s">
        <v>460</v>
      </c>
      <c r="B354" s="1" t="s">
        <v>78</v>
      </c>
      <c r="C354" s="41" t="str">
        <f t="shared" si="1"/>
        <v>Большой</v>
      </c>
      <c r="D354" s="42">
        <f>VLOOKUP(A354,'Задание 2 (Известные данные)'!$A$2:$D$501,2,FALSE)</f>
        <v>3987612</v>
      </c>
      <c r="E354" s="43">
        <f>ROUND(D354*VLOOKUP(B354,'Задание 2 (Справочник)'!$B$8:$D$12,2,FALSE)/(1-VLOOKUP(B354,'Задание 2 (Справочник)'!$B$8:$D$12,3,FALSE)),0)</f>
        <v>3323010</v>
      </c>
      <c r="F354" s="43">
        <f>VLOOKUP(A354,'Задание 2 (Известные данные)'!$A$2:$D$501,3,FALSE)</f>
        <v>2512196</v>
      </c>
      <c r="G354" s="37">
        <f>F354*VLOOKUP(A354,'Задание 2 (Известные данные)'!$A$2:$D$501,4,FALSE)/1000</f>
        <v>371805.008</v>
      </c>
      <c r="H354" s="43">
        <f>ROUND(E354*VLOOKUP(C354,'Задание 2 (Справочник)'!$B$16:$C$18,2,FALSE),0)</f>
        <v>16615</v>
      </c>
      <c r="I354" s="43">
        <f t="shared" si="2"/>
        <v>186068.65</v>
      </c>
    </row>
    <row r="355" ht="13.5" customHeight="1">
      <c r="A355" s="1" t="s">
        <v>461</v>
      </c>
      <c r="B355" s="1" t="s">
        <v>78</v>
      </c>
      <c r="C355" s="41" t="str">
        <f t="shared" si="1"/>
        <v>Большой</v>
      </c>
      <c r="D355" s="42">
        <f>VLOOKUP(A355,'Задание 2 (Известные данные)'!$A$2:$D$501,2,FALSE)</f>
        <v>1765432</v>
      </c>
      <c r="E355" s="43">
        <f>ROUND(D355*VLOOKUP(B355,'Задание 2 (Справочник)'!$B$8:$D$12,2,FALSE)/(1-VLOOKUP(B355,'Задание 2 (Справочник)'!$B$8:$D$12,3,FALSE)),0)</f>
        <v>1471193</v>
      </c>
      <c r="F355" s="43">
        <f>VLOOKUP(A355,'Задание 2 (Известные данные)'!$A$2:$D$501,3,FALSE)</f>
        <v>1112222</v>
      </c>
      <c r="G355" s="37">
        <f>F355*VLOOKUP(A355,'Задание 2 (Известные данные)'!$A$2:$D$501,4,FALSE)/1000</f>
        <v>134578.862</v>
      </c>
      <c r="H355" s="43">
        <f>ROUND(E355*VLOOKUP(C355,'Задание 2 (Справочник)'!$B$16:$C$18,2,FALSE),0)</f>
        <v>7356</v>
      </c>
      <c r="I355" s="43">
        <f t="shared" si="2"/>
        <v>67362.99</v>
      </c>
    </row>
    <row r="356" ht="13.5" customHeight="1">
      <c r="A356" s="1" t="s">
        <v>462</v>
      </c>
      <c r="B356" s="1" t="s">
        <v>78</v>
      </c>
      <c r="C356" s="41" t="str">
        <f t="shared" si="1"/>
        <v>Большой</v>
      </c>
      <c r="D356" s="42">
        <f>VLOOKUP(A356,'Задание 2 (Известные данные)'!$A$2:$D$501,2,FALSE)</f>
        <v>5123987</v>
      </c>
      <c r="E356" s="43">
        <f>ROUND(D356*VLOOKUP(B356,'Задание 2 (Справочник)'!$B$8:$D$12,2,FALSE)/(1-VLOOKUP(B356,'Задание 2 (Справочник)'!$B$8:$D$12,3,FALSE)),0)</f>
        <v>4269989</v>
      </c>
      <c r="F356" s="43">
        <f>VLOOKUP(A356,'Задание 2 (Известные данные)'!$A$2:$D$501,3,FALSE)</f>
        <v>3228112</v>
      </c>
      <c r="G356" s="37">
        <f>F356*VLOOKUP(A356,'Задание 2 (Известные данные)'!$A$2:$D$501,4,FALSE)/1000</f>
        <v>461620.016</v>
      </c>
      <c r="H356" s="43">
        <f>ROUND(E356*VLOOKUP(C356,'Задание 2 (Справочник)'!$B$16:$C$18,2,FALSE),0)</f>
        <v>21350</v>
      </c>
      <c r="I356" s="43">
        <f t="shared" si="2"/>
        <v>231023.51</v>
      </c>
    </row>
    <row r="357" ht="13.5" customHeight="1">
      <c r="A357" s="1" t="s">
        <v>463</v>
      </c>
      <c r="B357" s="1" t="s">
        <v>78</v>
      </c>
      <c r="C357" s="41" t="str">
        <f t="shared" si="1"/>
        <v>Большой</v>
      </c>
      <c r="D357" s="42">
        <f>VLOOKUP(A357,'Задание 2 (Известные данные)'!$A$2:$D$501,2,FALSE)</f>
        <v>2345678</v>
      </c>
      <c r="E357" s="43">
        <f>ROUND(D357*VLOOKUP(B357,'Задание 2 (Справочник)'!$B$8:$D$12,2,FALSE)/(1-VLOOKUP(B357,'Задание 2 (Справочник)'!$B$8:$D$12,3,FALSE)),0)</f>
        <v>1954732</v>
      </c>
      <c r="F357" s="43">
        <f>VLOOKUP(A357,'Задание 2 (Известные данные)'!$A$2:$D$501,3,FALSE)</f>
        <v>1477777</v>
      </c>
      <c r="G357" s="37">
        <f>F357*VLOOKUP(A357,'Задание 2 (Известные данные)'!$A$2:$D$501,4,FALSE)/1000</f>
        <v>190633.233</v>
      </c>
      <c r="H357" s="43">
        <f>ROUND(E357*VLOOKUP(C357,'Задание 2 (Справочник)'!$B$16:$C$18,2,FALSE),0)</f>
        <v>9774</v>
      </c>
      <c r="I357" s="43">
        <f t="shared" si="2"/>
        <v>95414.36</v>
      </c>
    </row>
    <row r="358" ht="13.5" customHeight="1">
      <c r="A358" s="1" t="s">
        <v>464</v>
      </c>
      <c r="B358" s="1" t="s">
        <v>78</v>
      </c>
      <c r="C358" s="41" t="str">
        <f t="shared" si="1"/>
        <v>Большой</v>
      </c>
      <c r="D358" s="42">
        <f>VLOOKUP(A358,'Задание 2 (Известные данные)'!$A$2:$D$501,2,FALSE)</f>
        <v>3456789</v>
      </c>
      <c r="E358" s="43">
        <f>ROUND(D358*VLOOKUP(B358,'Задание 2 (Справочник)'!$B$8:$D$12,2,FALSE)/(1-VLOOKUP(B358,'Задание 2 (Справочник)'!$B$8:$D$12,3,FALSE)),0)</f>
        <v>2880658</v>
      </c>
      <c r="F358" s="43">
        <f>VLOOKUP(A358,'Задание 2 (Известные данные)'!$A$2:$D$501,3,FALSE)</f>
        <v>2177777</v>
      </c>
      <c r="G358" s="37">
        <f>F358*VLOOKUP(A358,'Задание 2 (Известные данные)'!$A$2:$D$501,4,FALSE)/1000</f>
        <v>307066.557</v>
      </c>
      <c r="H358" s="43">
        <f>ROUND(E358*VLOOKUP(C358,'Задание 2 (Справочник)'!$B$16:$C$18,2,FALSE),0)</f>
        <v>14403</v>
      </c>
      <c r="I358" s="43">
        <f t="shared" si="2"/>
        <v>153677.31</v>
      </c>
    </row>
    <row r="359" ht="13.5" customHeight="1">
      <c r="A359" s="1" t="s">
        <v>465</v>
      </c>
      <c r="B359" s="1" t="s">
        <v>78</v>
      </c>
      <c r="C359" s="41" t="str">
        <f t="shared" si="1"/>
        <v>Большой</v>
      </c>
      <c r="D359" s="42">
        <f>VLOOKUP(A359,'Задание 2 (Известные данные)'!$A$2:$D$501,2,FALSE)</f>
        <v>4234567</v>
      </c>
      <c r="E359" s="43">
        <f>ROUND(D359*VLOOKUP(B359,'Задание 2 (Справочник)'!$B$8:$D$12,2,FALSE)/(1-VLOOKUP(B359,'Задание 2 (Справочник)'!$B$8:$D$12,3,FALSE)),0)</f>
        <v>3528806</v>
      </c>
      <c r="F359" s="43">
        <f>VLOOKUP(A359,'Задание 2 (Известные данные)'!$A$2:$D$501,3,FALSE)</f>
        <v>2667777</v>
      </c>
      <c r="G359" s="37">
        <f>F359*VLOOKUP(A359,'Задание 2 (Известные данные)'!$A$2:$D$501,4,FALSE)/1000</f>
        <v>397498.773</v>
      </c>
      <c r="H359" s="43">
        <f>ROUND(E359*VLOOKUP(C359,'Задание 2 (Справочник)'!$B$16:$C$18,2,FALSE),0)</f>
        <v>17644</v>
      </c>
      <c r="I359" s="43">
        <f t="shared" si="2"/>
        <v>198925.83</v>
      </c>
    </row>
    <row r="360" ht="13.5" customHeight="1">
      <c r="A360" s="1" t="s">
        <v>466</v>
      </c>
      <c r="B360" s="1" t="s">
        <v>78</v>
      </c>
      <c r="C360" s="41" t="str">
        <f t="shared" si="1"/>
        <v>Большой</v>
      </c>
      <c r="D360" s="42">
        <f>VLOOKUP(A360,'Задание 2 (Известные данные)'!$A$2:$D$501,2,FALSE)</f>
        <v>1987654</v>
      </c>
      <c r="E360" s="43">
        <f>ROUND(D360*VLOOKUP(B360,'Задание 2 (Справочник)'!$B$8:$D$12,2,FALSE)/(1-VLOOKUP(B360,'Задание 2 (Справочник)'!$B$8:$D$12,3,FALSE)),0)</f>
        <v>1656378</v>
      </c>
      <c r="F360" s="43">
        <f>VLOOKUP(A360,'Задание 2 (Известные данные)'!$A$2:$D$501,3,FALSE)</f>
        <v>1252222</v>
      </c>
      <c r="G360" s="37">
        <f>F360*VLOOKUP(A360,'Задание 2 (Известные данные)'!$A$2:$D$501,4,FALSE)/1000</f>
        <v>147762.196</v>
      </c>
      <c r="H360" s="43">
        <f>ROUND(E360*VLOOKUP(C360,'Задание 2 (Справочник)'!$B$16:$C$18,2,FALSE),0)</f>
        <v>8282</v>
      </c>
      <c r="I360" s="43">
        <f t="shared" si="2"/>
        <v>73963.92</v>
      </c>
    </row>
    <row r="361" ht="13.5" customHeight="1">
      <c r="A361" s="1" t="s">
        <v>467</v>
      </c>
      <c r="B361" s="1" t="s">
        <v>78</v>
      </c>
      <c r="C361" s="41" t="str">
        <f t="shared" si="1"/>
        <v>Большой</v>
      </c>
      <c r="D361" s="42">
        <f>VLOOKUP(A361,'Задание 2 (Известные данные)'!$A$2:$D$501,2,FALSE)</f>
        <v>3678901</v>
      </c>
      <c r="E361" s="43">
        <f>ROUND(D361*VLOOKUP(B361,'Задание 2 (Справочник)'!$B$8:$D$12,2,FALSE)/(1-VLOOKUP(B361,'Задание 2 (Справочник)'!$B$8:$D$12,3,FALSE)),0)</f>
        <v>3065751</v>
      </c>
      <c r="F361" s="43">
        <f>VLOOKUP(A361,'Задание 2 (Известные данные)'!$A$2:$D$501,3,FALSE)</f>
        <v>2317708</v>
      </c>
      <c r="G361" s="37">
        <f>F361*VLOOKUP(A361,'Задание 2 (Известные данные)'!$A$2:$D$501,4,FALSE)/1000</f>
        <v>317525.996</v>
      </c>
      <c r="H361" s="43">
        <f>ROUND(E361*VLOOKUP(C361,'Задание 2 (Справочник)'!$B$16:$C$18,2,FALSE),0)</f>
        <v>15329</v>
      </c>
      <c r="I361" s="43">
        <f t="shared" si="2"/>
        <v>158916.29</v>
      </c>
    </row>
    <row r="362" ht="13.5" customHeight="1">
      <c r="A362" s="1" t="s">
        <v>468</v>
      </c>
      <c r="B362" s="1" t="s">
        <v>78</v>
      </c>
      <c r="C362" s="41" t="str">
        <f t="shared" si="1"/>
        <v>Большой</v>
      </c>
      <c r="D362" s="42">
        <f>VLOOKUP(A362,'Задание 2 (Известные данные)'!$A$2:$D$501,2,FALSE)</f>
        <v>2765432</v>
      </c>
      <c r="E362" s="43">
        <f>ROUND(D362*VLOOKUP(B362,'Задание 2 (Справочник)'!$B$8:$D$12,2,FALSE)/(1-VLOOKUP(B362,'Задание 2 (Справочник)'!$B$8:$D$12,3,FALSE)),0)</f>
        <v>2304527</v>
      </c>
      <c r="F362" s="43">
        <f>VLOOKUP(A362,'Задание 2 (Известные данные)'!$A$2:$D$501,3,FALSE)</f>
        <v>1742222</v>
      </c>
      <c r="G362" s="37">
        <f>F362*VLOOKUP(A362,'Задание 2 (Известные данные)'!$A$2:$D$501,4,FALSE)/1000</f>
        <v>229973.304</v>
      </c>
      <c r="H362" s="43">
        <f>ROUND(E362*VLOOKUP(C362,'Задание 2 (Справочник)'!$B$16:$C$18,2,FALSE),0)</f>
        <v>11523</v>
      </c>
      <c r="I362" s="43">
        <f t="shared" si="2"/>
        <v>115101.88</v>
      </c>
    </row>
    <row r="363" ht="13.5" customHeight="1">
      <c r="A363" s="1" t="s">
        <v>469</v>
      </c>
      <c r="B363" s="1" t="s">
        <v>78</v>
      </c>
      <c r="C363" s="41" t="str">
        <f t="shared" si="1"/>
        <v>Большой</v>
      </c>
      <c r="D363" s="42">
        <f>VLOOKUP(A363,'Задание 2 (Известные данные)'!$A$2:$D$501,2,FALSE)</f>
        <v>4509876</v>
      </c>
      <c r="E363" s="43">
        <f>ROUND(D363*VLOOKUP(B363,'Задание 2 (Справочник)'!$B$8:$D$12,2,FALSE)/(1-VLOOKUP(B363,'Задание 2 (Справочник)'!$B$8:$D$12,3,FALSE)),0)</f>
        <v>3758230</v>
      </c>
      <c r="F363" s="43">
        <f>VLOOKUP(A363,'Задание 2 (Известные данные)'!$A$2:$D$501,3,FALSE)</f>
        <v>2841222</v>
      </c>
      <c r="G363" s="37">
        <f>F363*VLOOKUP(A363,'Задание 2 (Известные данные)'!$A$2:$D$501,4,FALSE)/1000</f>
        <v>414818.412</v>
      </c>
      <c r="H363" s="43">
        <f>ROUND(E363*VLOOKUP(C363,'Задание 2 (Справочник)'!$B$16:$C$18,2,FALSE),0)</f>
        <v>18791</v>
      </c>
      <c r="I363" s="43">
        <f t="shared" si="2"/>
        <v>207597.12</v>
      </c>
    </row>
    <row r="364" ht="13.5" customHeight="1">
      <c r="A364" s="1" t="s">
        <v>470</v>
      </c>
      <c r="B364" s="1" t="s">
        <v>78</v>
      </c>
      <c r="C364" s="41" t="str">
        <f t="shared" si="1"/>
        <v>Большой</v>
      </c>
      <c r="D364" s="42">
        <f>VLOOKUP(A364,'Задание 2 (Известные данные)'!$A$2:$D$501,2,FALSE)</f>
        <v>3210987</v>
      </c>
      <c r="E364" s="43">
        <f>ROUND(D364*VLOOKUP(B364,'Задание 2 (Справочник)'!$B$8:$D$12,2,FALSE)/(1-VLOOKUP(B364,'Задание 2 (Справочник)'!$B$8:$D$12,3,FALSE)),0)</f>
        <v>2675823</v>
      </c>
      <c r="F364" s="43">
        <f>VLOOKUP(A364,'Задание 2 (Известные данные)'!$A$2:$D$501,3,FALSE)</f>
        <v>2022922</v>
      </c>
      <c r="G364" s="37">
        <f>F364*VLOOKUP(A364,'Задание 2 (Известные данные)'!$A$2:$D$501,4,FALSE)/1000</f>
        <v>271071.548</v>
      </c>
      <c r="H364" s="43">
        <f>ROUND(E364*VLOOKUP(C364,'Задание 2 (Справочник)'!$B$16:$C$18,2,FALSE),0)</f>
        <v>13379</v>
      </c>
      <c r="I364" s="43">
        <f t="shared" si="2"/>
        <v>135669.56</v>
      </c>
    </row>
    <row r="365" ht="13.5" customHeight="1">
      <c r="A365" s="1" t="s">
        <v>471</v>
      </c>
      <c r="B365" s="1" t="s">
        <v>78</v>
      </c>
      <c r="C365" s="41" t="str">
        <f t="shared" si="1"/>
        <v>Большой</v>
      </c>
      <c r="D365" s="42">
        <f>VLOOKUP(A365,'Задание 2 (Известные данные)'!$A$2:$D$501,2,FALSE)</f>
        <v>1876543</v>
      </c>
      <c r="E365" s="43">
        <f>ROUND(D365*VLOOKUP(B365,'Задание 2 (Справочник)'!$B$8:$D$12,2,FALSE)/(1-VLOOKUP(B365,'Задание 2 (Справочник)'!$B$8:$D$12,3,FALSE)),0)</f>
        <v>1563786</v>
      </c>
      <c r="F365" s="43">
        <f>VLOOKUP(A365,'Задание 2 (Известные данные)'!$A$2:$D$501,3,FALSE)</f>
        <v>1182222</v>
      </c>
      <c r="G365" s="37">
        <f>F365*VLOOKUP(A365,'Задание 2 (Известные данные)'!$A$2:$D$501,4,FALSE)/1000</f>
        <v>144231.084</v>
      </c>
      <c r="H365" s="43">
        <f>ROUND(E365*VLOOKUP(C365,'Задание 2 (Справочник)'!$B$16:$C$18,2,FALSE),0)</f>
        <v>7819</v>
      </c>
      <c r="I365" s="43">
        <f t="shared" si="2"/>
        <v>72193.73</v>
      </c>
    </row>
    <row r="366" ht="13.5" customHeight="1">
      <c r="A366" s="1" t="s">
        <v>472</v>
      </c>
      <c r="B366" s="1" t="s">
        <v>78</v>
      </c>
      <c r="C366" s="41" t="str">
        <f t="shared" si="1"/>
        <v>Большой</v>
      </c>
      <c r="D366" s="42">
        <f>VLOOKUP(A366,'Задание 2 (Известные данные)'!$A$2:$D$501,2,FALSE)</f>
        <v>4987612</v>
      </c>
      <c r="E366" s="43">
        <f>ROUND(D366*VLOOKUP(B366,'Задание 2 (Справочник)'!$B$8:$D$12,2,FALSE)/(1-VLOOKUP(B366,'Задание 2 (Справочник)'!$B$8:$D$12,3,FALSE)),0)</f>
        <v>4156343</v>
      </c>
      <c r="F366" s="43">
        <f>VLOOKUP(A366,'Задание 2 (Известные данные)'!$A$2:$D$501,3,FALSE)</f>
        <v>3142196</v>
      </c>
      <c r="G366" s="37">
        <f>F366*VLOOKUP(A366,'Задание 2 (Известные данные)'!$A$2:$D$501,4,FALSE)/1000</f>
        <v>452476.224</v>
      </c>
      <c r="H366" s="43">
        <f>ROUND(E366*VLOOKUP(C366,'Задание 2 (Справочник)'!$B$16:$C$18,2,FALSE),0)</f>
        <v>20782</v>
      </c>
      <c r="I366" s="43">
        <f t="shared" si="2"/>
        <v>226445.93</v>
      </c>
    </row>
    <row r="367" ht="13.5" customHeight="1">
      <c r="A367" s="1" t="s">
        <v>473</v>
      </c>
      <c r="B367" s="1" t="s">
        <v>78</v>
      </c>
      <c r="C367" s="41" t="str">
        <f t="shared" si="1"/>
        <v>Большой</v>
      </c>
      <c r="D367" s="42">
        <f>VLOOKUP(A367,'Задание 2 (Известные данные)'!$A$2:$D$501,2,FALSE)</f>
        <v>2345678</v>
      </c>
      <c r="E367" s="43">
        <f>ROUND(D367*VLOOKUP(B367,'Задание 2 (Справочник)'!$B$8:$D$12,2,FALSE)/(1-VLOOKUP(B367,'Задание 2 (Справочник)'!$B$8:$D$12,3,FALSE)),0)</f>
        <v>1954732</v>
      </c>
      <c r="F367" s="43">
        <f>VLOOKUP(A367,'Задание 2 (Известные данные)'!$A$2:$D$501,3,FALSE)</f>
        <v>1477777</v>
      </c>
      <c r="G367" s="37">
        <f>F367*VLOOKUP(A367,'Задание 2 (Известные данные)'!$A$2:$D$501,4,FALSE)/1000</f>
        <v>189155.456</v>
      </c>
      <c r="H367" s="43">
        <f>ROUND(E367*VLOOKUP(C367,'Задание 2 (Справочник)'!$B$16:$C$18,2,FALSE),0)</f>
        <v>9774</v>
      </c>
      <c r="I367" s="43">
        <f t="shared" si="2"/>
        <v>94675.47</v>
      </c>
    </row>
    <row r="368" ht="13.5" customHeight="1">
      <c r="A368" s="1" t="s">
        <v>474</v>
      </c>
      <c r="B368" s="1" t="s">
        <v>78</v>
      </c>
      <c r="C368" s="41" t="str">
        <f t="shared" si="1"/>
        <v>Большой</v>
      </c>
      <c r="D368" s="42">
        <f>VLOOKUP(A368,'Задание 2 (Известные данные)'!$A$2:$D$501,2,FALSE)</f>
        <v>3654321</v>
      </c>
      <c r="E368" s="43">
        <f>ROUND(D368*VLOOKUP(B368,'Задание 2 (Справочник)'!$B$8:$D$12,2,FALSE)/(1-VLOOKUP(B368,'Задание 2 (Справочник)'!$B$8:$D$12,3,FALSE)),0)</f>
        <v>3045268</v>
      </c>
      <c r="F368" s="43">
        <f>VLOOKUP(A368,'Задание 2 (Известные данные)'!$A$2:$D$501,3,FALSE)</f>
        <v>2302222</v>
      </c>
      <c r="G368" s="37">
        <f>F368*VLOOKUP(A368,'Задание 2 (Известные данные)'!$A$2:$D$501,4,FALSE)/1000</f>
        <v>320008.858</v>
      </c>
      <c r="H368" s="43">
        <f>ROUND(E368*VLOOKUP(C368,'Задание 2 (Справочник)'!$B$16:$C$18,2,FALSE),0)</f>
        <v>15226</v>
      </c>
      <c r="I368" s="43">
        <f t="shared" si="2"/>
        <v>160156.69</v>
      </c>
    </row>
    <row r="369" ht="13.5" customHeight="1">
      <c r="A369" s="1" t="s">
        <v>475</v>
      </c>
      <c r="B369" s="1" t="s">
        <v>78</v>
      </c>
      <c r="C369" s="41" t="str">
        <f t="shared" si="1"/>
        <v>Средний</v>
      </c>
      <c r="D369" s="42">
        <f>VLOOKUP(A369,'Задание 2 (Известные данные)'!$A$2:$D$501,2,FALSE)</f>
        <v>234567</v>
      </c>
      <c r="E369" s="43">
        <f>ROUND(D369*VLOOKUP(B369,'Задание 2 (Справочник)'!$B$8:$D$12,2,FALSE)/(1-VLOOKUP(B369,'Задание 2 (Справочник)'!$B$8:$D$12,3,FALSE)),0)</f>
        <v>195473</v>
      </c>
      <c r="F369" s="43">
        <f>VLOOKUP(A369,'Задание 2 (Известные данные)'!$A$2:$D$501,3,FALSE)</f>
        <v>147777</v>
      </c>
      <c r="G369" s="37">
        <f>F369*VLOOKUP(A369,'Задание 2 (Известные данные)'!$A$2:$D$501,4,FALSE)/1000</f>
        <v>16551.024</v>
      </c>
      <c r="H369" s="43">
        <f>ROUND(E369*VLOOKUP(C369,'Задание 2 (Справочник)'!$B$16:$C$18,2,FALSE),0)</f>
        <v>1466</v>
      </c>
      <c r="I369" s="43">
        <f t="shared" si="2"/>
        <v>8290.17</v>
      </c>
    </row>
    <row r="370" ht="13.5" customHeight="1">
      <c r="A370" s="1" t="s">
        <v>476</v>
      </c>
      <c r="B370" s="1" t="s">
        <v>78</v>
      </c>
      <c r="C370" s="41" t="str">
        <f t="shared" si="1"/>
        <v>Средний</v>
      </c>
      <c r="D370" s="42">
        <f>VLOOKUP(A370,'Задание 2 (Известные данные)'!$A$2:$D$501,2,FALSE)</f>
        <v>345678</v>
      </c>
      <c r="E370" s="43">
        <f>ROUND(D370*VLOOKUP(B370,'Задание 2 (Справочник)'!$B$8:$D$12,2,FALSE)/(1-VLOOKUP(B370,'Задание 2 (Справочник)'!$B$8:$D$12,3,FALSE)),0)</f>
        <v>288065</v>
      </c>
      <c r="F370" s="43">
        <f>VLOOKUP(A370,'Задание 2 (Известные данные)'!$A$2:$D$501,3,FALSE)</f>
        <v>217777</v>
      </c>
      <c r="G370" s="37">
        <f>F370*VLOOKUP(A370,'Задание 2 (Известные данные)'!$A$2:$D$501,4,FALSE)/1000</f>
        <v>27222.125</v>
      </c>
      <c r="H370" s="43">
        <f>ROUND(E370*VLOOKUP(C370,'Задание 2 (Справочник)'!$B$16:$C$18,2,FALSE),0)</f>
        <v>2160</v>
      </c>
      <c r="I370" s="43">
        <f t="shared" si="2"/>
        <v>13632.66</v>
      </c>
    </row>
    <row r="371" ht="13.5" customHeight="1">
      <c r="A371" s="1" t="s">
        <v>477</v>
      </c>
      <c r="B371" s="1" t="s">
        <v>78</v>
      </c>
      <c r="C371" s="41" t="str">
        <f t="shared" si="1"/>
        <v>Средний</v>
      </c>
      <c r="D371" s="42">
        <f>VLOOKUP(A371,'Задание 2 (Известные данные)'!$A$2:$D$501,2,FALSE)</f>
        <v>123456</v>
      </c>
      <c r="E371" s="43">
        <f>ROUND(D371*VLOOKUP(B371,'Задание 2 (Справочник)'!$B$8:$D$12,2,FALSE)/(1-VLOOKUP(B371,'Задание 2 (Справочник)'!$B$8:$D$12,3,FALSE)),0)</f>
        <v>102880</v>
      </c>
      <c r="F371" s="43">
        <f>VLOOKUP(A371,'Задание 2 (Известные данные)'!$A$2:$D$501,3,FALSE)</f>
        <v>77777</v>
      </c>
      <c r="G371" s="37">
        <f>F371*VLOOKUP(A371,'Задание 2 (Известные данные)'!$A$2:$D$501,4,FALSE)/1000</f>
        <v>7855.477</v>
      </c>
      <c r="H371" s="43">
        <f>ROUND(E371*VLOOKUP(C371,'Задание 2 (Справочник)'!$B$16:$C$18,2,FALSE),0)</f>
        <v>772</v>
      </c>
      <c r="I371" s="43">
        <f t="shared" si="2"/>
        <v>3935.46</v>
      </c>
    </row>
    <row r="372" ht="13.5" customHeight="1">
      <c r="A372" s="1" t="s">
        <v>478</v>
      </c>
      <c r="B372" s="1" t="s">
        <v>78</v>
      </c>
      <c r="C372" s="41" t="str">
        <f t="shared" si="1"/>
        <v>Средний</v>
      </c>
      <c r="D372" s="42">
        <f>VLOOKUP(A372,'Задание 2 (Известные данные)'!$A$2:$D$501,2,FALSE)</f>
        <v>456789</v>
      </c>
      <c r="E372" s="43">
        <f>ROUND(D372*VLOOKUP(B372,'Задание 2 (Справочник)'!$B$8:$D$12,2,FALSE)/(1-VLOOKUP(B372,'Задание 2 (Справочник)'!$B$8:$D$12,3,FALSE)),0)</f>
        <v>380658</v>
      </c>
      <c r="F372" s="43">
        <f>VLOOKUP(A372,'Задание 2 (Известные данные)'!$A$2:$D$501,3,FALSE)</f>
        <v>287777</v>
      </c>
      <c r="G372" s="37">
        <f>F372*VLOOKUP(A372,'Задание 2 (Известные данные)'!$A$2:$D$501,4,FALSE)/1000</f>
        <v>37698.787</v>
      </c>
      <c r="H372" s="43">
        <f>ROUND(E372*VLOOKUP(C372,'Задание 2 (Справочник)'!$B$16:$C$18,2,FALSE),0)</f>
        <v>2855</v>
      </c>
      <c r="I372" s="43">
        <f t="shared" si="2"/>
        <v>18877.94</v>
      </c>
    </row>
    <row r="373" ht="13.5" customHeight="1">
      <c r="A373" s="1" t="s">
        <v>479</v>
      </c>
      <c r="B373" s="1" t="s">
        <v>78</v>
      </c>
      <c r="C373" s="41" t="str">
        <f t="shared" si="1"/>
        <v>Средний</v>
      </c>
      <c r="D373" s="42">
        <f>VLOOKUP(A373,'Задание 2 (Известные данные)'!$A$2:$D$501,2,FALSE)</f>
        <v>198765</v>
      </c>
      <c r="E373" s="43">
        <f>ROUND(D373*VLOOKUP(B373,'Задание 2 (Справочник)'!$B$8:$D$12,2,FALSE)/(1-VLOOKUP(B373,'Задание 2 (Справочник)'!$B$8:$D$12,3,FALSE)),0)</f>
        <v>165638</v>
      </c>
      <c r="F373" s="43">
        <f>VLOOKUP(A373,'Задание 2 (Известные данные)'!$A$2:$D$501,3,FALSE)</f>
        <v>125222</v>
      </c>
      <c r="G373" s="37">
        <f>F373*VLOOKUP(A373,'Задание 2 (Известные данные)'!$A$2:$D$501,4,FALSE)/1000</f>
        <v>13523.976</v>
      </c>
      <c r="H373" s="43">
        <f>ROUND(E373*VLOOKUP(C373,'Задание 2 (Справочник)'!$B$16:$C$18,2,FALSE),0)</f>
        <v>1242</v>
      </c>
      <c r="I373" s="43">
        <f t="shared" si="2"/>
        <v>6774.41</v>
      </c>
    </row>
    <row r="374" ht="13.5" customHeight="1">
      <c r="A374" s="1" t="s">
        <v>480</v>
      </c>
      <c r="B374" s="1" t="s">
        <v>78</v>
      </c>
      <c r="C374" s="41" t="str">
        <f t="shared" si="1"/>
        <v>Средний</v>
      </c>
      <c r="D374" s="42">
        <f>VLOOKUP(A374,'Задание 2 (Известные данные)'!$A$2:$D$501,2,FALSE)</f>
        <v>287654</v>
      </c>
      <c r="E374" s="43">
        <f>ROUND(D374*VLOOKUP(B374,'Задание 2 (Справочник)'!$B$8:$D$12,2,FALSE)/(1-VLOOKUP(B374,'Задание 2 (Справочник)'!$B$8:$D$12,3,FALSE)),0)</f>
        <v>239712</v>
      </c>
      <c r="F374" s="43">
        <f>VLOOKUP(A374,'Задание 2 (Известные данные)'!$A$2:$D$501,3,FALSE)</f>
        <v>181222</v>
      </c>
      <c r="G374" s="37">
        <f>F374*VLOOKUP(A374,'Задание 2 (Известные данные)'!$A$2:$D$501,4,FALSE)/1000</f>
        <v>21384.196</v>
      </c>
      <c r="H374" s="43">
        <f>ROUND(E374*VLOOKUP(C374,'Задание 2 (Справочник)'!$B$16:$C$18,2,FALSE),0)</f>
        <v>1798</v>
      </c>
      <c r="I374" s="43">
        <f t="shared" si="2"/>
        <v>10710.08</v>
      </c>
    </row>
    <row r="375" ht="13.5" customHeight="1">
      <c r="A375" s="1" t="s">
        <v>481</v>
      </c>
      <c r="B375" s="1" t="s">
        <v>78</v>
      </c>
      <c r="C375" s="41" t="str">
        <f t="shared" si="1"/>
        <v>Средний</v>
      </c>
      <c r="D375" s="42">
        <f>VLOOKUP(A375,'Задание 2 (Известные данные)'!$A$2:$D$501,2,FALSE)</f>
        <v>165432</v>
      </c>
      <c r="E375" s="43">
        <f>ROUND(D375*VLOOKUP(B375,'Задание 2 (Справочник)'!$B$8:$D$12,2,FALSE)/(1-VLOOKUP(B375,'Задание 2 (Справочник)'!$B$8:$D$12,3,FALSE)),0)</f>
        <v>137860</v>
      </c>
      <c r="F375" s="43">
        <f>VLOOKUP(A375,'Задание 2 (Известные данные)'!$A$2:$D$501,3,FALSE)</f>
        <v>104222</v>
      </c>
      <c r="G375" s="37">
        <f>F375*VLOOKUP(A375,'Задание 2 (Известные данные)'!$A$2:$D$501,4,FALSE)/1000</f>
        <v>10943.31</v>
      </c>
      <c r="H375" s="43">
        <f>ROUND(E375*VLOOKUP(C375,'Задание 2 (Справочник)'!$B$16:$C$18,2,FALSE),0)</f>
        <v>1034</v>
      </c>
      <c r="I375" s="43">
        <f t="shared" si="2"/>
        <v>5482</v>
      </c>
    </row>
    <row r="376" ht="13.5" customHeight="1">
      <c r="A376" s="1" t="s">
        <v>482</v>
      </c>
      <c r="B376" s="1" t="s">
        <v>78</v>
      </c>
      <c r="C376" s="41" t="str">
        <f t="shared" si="1"/>
        <v>Средний</v>
      </c>
      <c r="D376" s="42">
        <f>VLOOKUP(A376,'Задание 2 (Известные данные)'!$A$2:$D$501,2,FALSE)</f>
        <v>398761</v>
      </c>
      <c r="E376" s="43">
        <f>ROUND(D376*VLOOKUP(B376,'Задание 2 (Справочник)'!$B$8:$D$12,2,FALSE)/(1-VLOOKUP(B376,'Задание 2 (Справочник)'!$B$8:$D$12,3,FALSE)),0)</f>
        <v>332301</v>
      </c>
      <c r="F376" s="43">
        <f>VLOOKUP(A376,'Задание 2 (Известные данные)'!$A$2:$D$501,3,FALSE)</f>
        <v>251220</v>
      </c>
      <c r="G376" s="37">
        <f>F376*VLOOKUP(A376,'Задание 2 (Известные данные)'!$A$2:$D$501,4,FALSE)/1000</f>
        <v>31904.94</v>
      </c>
      <c r="H376" s="43">
        <f>ROUND(E376*VLOOKUP(C376,'Задание 2 (Справочник)'!$B$16:$C$18,2,FALSE),0)</f>
        <v>2492</v>
      </c>
      <c r="I376" s="43">
        <f t="shared" si="2"/>
        <v>15977.39</v>
      </c>
    </row>
    <row r="377" ht="13.5" customHeight="1">
      <c r="A377" s="1" t="s">
        <v>483</v>
      </c>
      <c r="B377" s="1" t="s">
        <v>78</v>
      </c>
      <c r="C377" s="41" t="str">
        <f t="shared" si="1"/>
        <v>Средний</v>
      </c>
      <c r="D377" s="42">
        <f>VLOOKUP(A377,'Задание 2 (Известные данные)'!$A$2:$D$501,2,FALSE)</f>
        <v>210987</v>
      </c>
      <c r="E377" s="43">
        <f>ROUND(D377*VLOOKUP(B377,'Задание 2 (Справочник)'!$B$8:$D$12,2,FALSE)/(1-VLOOKUP(B377,'Задание 2 (Справочник)'!$B$8:$D$12,3,FALSE)),0)</f>
        <v>175823</v>
      </c>
      <c r="F377" s="43">
        <f>VLOOKUP(A377,'Задание 2 (Известные данные)'!$A$2:$D$501,3,FALSE)</f>
        <v>132922</v>
      </c>
      <c r="G377" s="37">
        <f>F377*VLOOKUP(A377,'Задание 2 (Известные данные)'!$A$2:$D$501,4,FALSE)/1000</f>
        <v>14754.342</v>
      </c>
      <c r="H377" s="43">
        <f>ROUND(E377*VLOOKUP(C377,'Задание 2 (Справочник)'!$B$16:$C$18,2,FALSE),0)</f>
        <v>1319</v>
      </c>
      <c r="I377" s="43">
        <f t="shared" si="2"/>
        <v>7390.36</v>
      </c>
    </row>
    <row r="378" ht="13.5" customHeight="1">
      <c r="A378" s="1" t="s">
        <v>484</v>
      </c>
      <c r="B378" s="1" t="s">
        <v>78</v>
      </c>
      <c r="C378" s="41" t="str">
        <f t="shared" si="1"/>
        <v>Средний</v>
      </c>
      <c r="D378" s="42">
        <f>VLOOKUP(A378,'Задание 2 (Известные данные)'!$A$2:$D$501,2,FALSE)</f>
        <v>321098</v>
      </c>
      <c r="E378" s="43">
        <f>ROUND(D378*VLOOKUP(B378,'Задание 2 (Справочник)'!$B$8:$D$12,2,FALSE)/(1-VLOOKUP(B378,'Задание 2 (Справочник)'!$B$8:$D$12,3,FALSE)),0)</f>
        <v>267582</v>
      </c>
      <c r="F378" s="43">
        <f>VLOOKUP(A378,'Задание 2 (Известные данные)'!$A$2:$D$501,3,FALSE)</f>
        <v>202292</v>
      </c>
      <c r="G378" s="37">
        <f>F378*VLOOKUP(A378,'Задание 2 (Известные данные)'!$A$2:$D$501,4,FALSE)/1000</f>
        <v>24477.332</v>
      </c>
      <c r="H378" s="43">
        <f>ROUND(E378*VLOOKUP(C378,'Задание 2 (Справочник)'!$B$16:$C$18,2,FALSE),0)</f>
        <v>2007</v>
      </c>
      <c r="I378" s="43">
        <f t="shared" si="2"/>
        <v>12258.74</v>
      </c>
    </row>
    <row r="379" ht="13.5" customHeight="1">
      <c r="A379" s="1" t="s">
        <v>485</v>
      </c>
      <c r="B379" s="1" t="s">
        <v>78</v>
      </c>
      <c r="C379" s="41" t="str">
        <f t="shared" si="1"/>
        <v>Средний</v>
      </c>
      <c r="D379" s="42">
        <f>VLOOKUP(A379,'Задание 2 (Известные данные)'!$A$2:$D$501,2,FALSE)</f>
        <v>143210</v>
      </c>
      <c r="E379" s="43">
        <f>ROUND(D379*VLOOKUP(B379,'Задание 2 (Справочник)'!$B$8:$D$12,2,FALSE)/(1-VLOOKUP(B379,'Задание 2 (Справочник)'!$B$8:$D$12,3,FALSE)),0)</f>
        <v>119342</v>
      </c>
      <c r="F379" s="43">
        <f>VLOOKUP(A379,'Задание 2 (Известные данные)'!$A$2:$D$501,3,FALSE)</f>
        <v>90222</v>
      </c>
      <c r="G379" s="37">
        <f>F379*VLOOKUP(A379,'Задание 2 (Известные данные)'!$A$2:$D$501,4,FALSE)/1000</f>
        <v>8931.978</v>
      </c>
      <c r="H379" s="43">
        <f>ROUND(E379*VLOOKUP(C379,'Задание 2 (Справочник)'!$B$16:$C$18,2,FALSE),0)</f>
        <v>895</v>
      </c>
      <c r="I379" s="43">
        <f t="shared" si="2"/>
        <v>4474.94</v>
      </c>
    </row>
    <row r="380" ht="13.5" customHeight="1">
      <c r="A380" s="1" t="s">
        <v>486</v>
      </c>
      <c r="B380" s="1" t="s">
        <v>78</v>
      </c>
      <c r="C380" s="41" t="str">
        <f t="shared" si="1"/>
        <v>Средний</v>
      </c>
      <c r="D380" s="42">
        <f>VLOOKUP(A380,'Задание 2 (Известные данные)'!$A$2:$D$501,2,FALSE)</f>
        <v>254321</v>
      </c>
      <c r="E380" s="43">
        <f>ROUND(D380*VLOOKUP(B380,'Задание 2 (Справочник)'!$B$8:$D$12,2,FALSE)/(1-VLOOKUP(B380,'Задание 2 (Справочник)'!$B$8:$D$12,3,FALSE)),0)</f>
        <v>211934</v>
      </c>
      <c r="F380" s="43">
        <f>VLOOKUP(A380,'Задание 2 (Известные данные)'!$A$2:$D$501,3,FALSE)</f>
        <v>160222</v>
      </c>
      <c r="G380" s="37">
        <f>F380*VLOOKUP(A380,'Задание 2 (Известные данные)'!$A$2:$D$501,4,FALSE)/1000</f>
        <v>18425.53</v>
      </c>
      <c r="H380" s="43">
        <f>ROUND(E380*VLOOKUP(C380,'Задание 2 (Справочник)'!$B$16:$C$18,2,FALSE),0)</f>
        <v>1590</v>
      </c>
      <c r="I380" s="43">
        <f t="shared" si="2"/>
        <v>9228.67</v>
      </c>
    </row>
    <row r="381" ht="13.5" customHeight="1">
      <c r="A381" s="1" t="s">
        <v>487</v>
      </c>
      <c r="B381" s="1" t="s">
        <v>78</v>
      </c>
      <c r="C381" s="41" t="str">
        <f t="shared" si="1"/>
        <v>Средний</v>
      </c>
      <c r="D381" s="42">
        <f>VLOOKUP(A381,'Задание 2 (Известные данные)'!$A$2:$D$501,2,FALSE)</f>
        <v>367890</v>
      </c>
      <c r="E381" s="43">
        <f>ROUND(D381*VLOOKUP(B381,'Задание 2 (Справочник)'!$B$8:$D$12,2,FALSE)/(1-VLOOKUP(B381,'Задание 2 (Справочник)'!$B$8:$D$12,3,FALSE)),0)</f>
        <v>306575</v>
      </c>
      <c r="F381" s="43">
        <f>VLOOKUP(A381,'Задание 2 (Известные данные)'!$A$2:$D$501,3,FALSE)</f>
        <v>231771</v>
      </c>
      <c r="G381" s="37">
        <f>F381*VLOOKUP(A381,'Задание 2 (Известные данные)'!$A$2:$D$501,4,FALSE)/1000</f>
        <v>29898.459</v>
      </c>
      <c r="H381" s="43">
        <f>ROUND(E381*VLOOKUP(C381,'Задание 2 (Справочник)'!$B$16:$C$18,2,FALSE),0)</f>
        <v>2299</v>
      </c>
      <c r="I381" s="43">
        <f t="shared" si="2"/>
        <v>14972.22</v>
      </c>
    </row>
    <row r="382" ht="13.5" customHeight="1">
      <c r="A382" s="1" t="s">
        <v>488</v>
      </c>
      <c r="B382" s="1" t="s">
        <v>78</v>
      </c>
      <c r="C382" s="41" t="str">
        <f t="shared" si="1"/>
        <v>Средний</v>
      </c>
      <c r="D382" s="42">
        <f>VLOOKUP(A382,'Задание 2 (Известные данные)'!$A$2:$D$501,2,FALSE)</f>
        <v>176543</v>
      </c>
      <c r="E382" s="43">
        <f>ROUND(D382*VLOOKUP(B382,'Задание 2 (Справочник)'!$B$8:$D$12,2,FALSE)/(1-VLOOKUP(B382,'Задание 2 (Справочник)'!$B$8:$D$12,3,FALSE)),0)</f>
        <v>147119</v>
      </c>
      <c r="F382" s="43">
        <f>VLOOKUP(A382,'Задание 2 (Известные данные)'!$A$2:$D$501,3,FALSE)</f>
        <v>111222</v>
      </c>
      <c r="G382" s="37">
        <f>F382*VLOOKUP(A382,'Задание 2 (Известные данные)'!$A$2:$D$501,4,FALSE)/1000</f>
        <v>11789.532</v>
      </c>
      <c r="H382" s="43">
        <f>ROUND(E382*VLOOKUP(C382,'Задание 2 (Справочник)'!$B$16:$C$18,2,FALSE),0)</f>
        <v>1103</v>
      </c>
      <c r="I382" s="43">
        <f t="shared" si="2"/>
        <v>5905.8</v>
      </c>
    </row>
    <row r="383" ht="13.5" customHeight="1">
      <c r="A383" s="1" t="s">
        <v>489</v>
      </c>
      <c r="B383" s="1" t="s">
        <v>78</v>
      </c>
      <c r="C383" s="41" t="str">
        <f t="shared" si="1"/>
        <v>Средний</v>
      </c>
      <c r="D383" s="42">
        <f>VLOOKUP(A383,'Задание 2 (Известные данные)'!$A$2:$D$501,2,FALSE)</f>
        <v>289765</v>
      </c>
      <c r="E383" s="43">
        <f>ROUND(D383*VLOOKUP(B383,'Задание 2 (Справочник)'!$B$8:$D$12,2,FALSE)/(1-VLOOKUP(B383,'Задание 2 (Справочник)'!$B$8:$D$12,3,FALSE)),0)</f>
        <v>241471</v>
      </c>
      <c r="F383" s="43">
        <f>VLOOKUP(A383,'Задание 2 (Известные данные)'!$A$2:$D$501,3,FALSE)</f>
        <v>182552</v>
      </c>
      <c r="G383" s="37">
        <f>F383*VLOOKUP(A383,'Задание 2 (Известные данные)'!$A$2:$D$501,4,FALSE)/1000</f>
        <v>21358.584</v>
      </c>
      <c r="H383" s="43">
        <f>ROUND(E383*VLOOKUP(C383,'Задание 2 (Справочник)'!$B$16:$C$18,2,FALSE),0)</f>
        <v>1811</v>
      </c>
      <c r="I383" s="43">
        <f t="shared" si="2"/>
        <v>10697.4</v>
      </c>
    </row>
    <row r="384" ht="13.5" customHeight="1">
      <c r="A384" s="1" t="s">
        <v>490</v>
      </c>
      <c r="B384" s="1" t="s">
        <v>78</v>
      </c>
      <c r="C384" s="41" t="str">
        <f t="shared" si="1"/>
        <v>Средний</v>
      </c>
      <c r="D384" s="42">
        <f>VLOOKUP(A384,'Задание 2 (Известные данные)'!$A$2:$D$501,2,FALSE)</f>
        <v>198543</v>
      </c>
      <c r="E384" s="43">
        <f>ROUND(D384*VLOOKUP(B384,'Задание 2 (Справочник)'!$B$8:$D$12,2,FALSE)/(1-VLOOKUP(B384,'Задание 2 (Справочник)'!$B$8:$D$12,3,FALSE)),0)</f>
        <v>165453</v>
      </c>
      <c r="F384" s="43">
        <f>VLOOKUP(A384,'Задание 2 (Известные данные)'!$A$2:$D$501,3,FALSE)</f>
        <v>125082</v>
      </c>
      <c r="G384" s="37">
        <f>F384*VLOOKUP(A384,'Задание 2 (Известные данные)'!$A$2:$D$501,4,FALSE)/1000</f>
        <v>13633.938</v>
      </c>
      <c r="H384" s="43">
        <f>ROUND(E384*VLOOKUP(C384,'Задание 2 (Справочник)'!$B$16:$C$18,2,FALSE),0)</f>
        <v>1241</v>
      </c>
      <c r="I384" s="43">
        <f t="shared" si="2"/>
        <v>6829.38</v>
      </c>
    </row>
    <row r="385" ht="13.5" customHeight="1">
      <c r="A385" s="1" t="s">
        <v>491</v>
      </c>
      <c r="B385" s="1" t="s">
        <v>78</v>
      </c>
      <c r="C385" s="41" t="str">
        <f t="shared" si="1"/>
        <v>Средний</v>
      </c>
      <c r="D385" s="42">
        <f>VLOOKUP(A385,'Задание 2 (Известные данные)'!$A$2:$D$501,2,FALSE)</f>
        <v>312987</v>
      </c>
      <c r="E385" s="43">
        <f>ROUND(D385*VLOOKUP(B385,'Задание 2 (Справочник)'!$B$8:$D$12,2,FALSE)/(1-VLOOKUP(B385,'Задание 2 (Справочник)'!$B$8:$D$12,3,FALSE)),0)</f>
        <v>260823</v>
      </c>
      <c r="F385" s="43">
        <f>VLOOKUP(A385,'Задание 2 (Известные данные)'!$A$2:$D$501,3,FALSE)</f>
        <v>197182</v>
      </c>
      <c r="G385" s="37">
        <f>F385*VLOOKUP(A385,'Задание 2 (Известные данные)'!$A$2:$D$501,4,FALSE)/1000</f>
        <v>24253.386</v>
      </c>
      <c r="H385" s="43">
        <f>ROUND(E385*VLOOKUP(C385,'Задание 2 (Справочник)'!$B$16:$C$18,2,FALSE),0)</f>
        <v>1956</v>
      </c>
      <c r="I385" s="43">
        <f t="shared" si="2"/>
        <v>12146.25</v>
      </c>
    </row>
    <row r="386" ht="13.5" customHeight="1">
      <c r="A386" s="1" t="s">
        <v>492</v>
      </c>
      <c r="B386" s="1" t="s">
        <v>78</v>
      </c>
      <c r="C386" s="41" t="str">
        <f t="shared" si="1"/>
        <v>Средний</v>
      </c>
      <c r="D386" s="42">
        <f>VLOOKUP(A386,'Задание 2 (Известные данные)'!$A$2:$D$501,2,FALSE)</f>
        <v>134567</v>
      </c>
      <c r="E386" s="43">
        <f>ROUND(D386*VLOOKUP(B386,'Задание 2 (Справочник)'!$B$8:$D$12,2,FALSE)/(1-VLOOKUP(B386,'Задание 2 (Справочник)'!$B$8:$D$12,3,FALSE)),0)</f>
        <v>112139</v>
      </c>
      <c r="F386" s="43">
        <f>VLOOKUP(A386,'Задание 2 (Известные данные)'!$A$2:$D$501,3,FALSE)</f>
        <v>84777</v>
      </c>
      <c r="G386" s="37">
        <f>F386*VLOOKUP(A386,'Задание 2 (Известные данные)'!$A$2:$D$501,4,FALSE)/1000</f>
        <v>8308.146</v>
      </c>
      <c r="H386" s="43">
        <f>ROUND(E386*VLOOKUP(C386,'Задание 2 (Справочник)'!$B$16:$C$18,2,FALSE),0)</f>
        <v>841</v>
      </c>
      <c r="I386" s="43">
        <f t="shared" si="2"/>
        <v>4162.48</v>
      </c>
    </row>
    <row r="387" ht="13.5" customHeight="1">
      <c r="A387" s="1" t="s">
        <v>493</v>
      </c>
      <c r="B387" s="1" t="s">
        <v>78</v>
      </c>
      <c r="C387" s="41" t="str">
        <f t="shared" si="1"/>
        <v>Средний</v>
      </c>
      <c r="D387" s="42">
        <f>VLOOKUP(A387,'Задание 2 (Известные данные)'!$A$2:$D$501,2,FALSE)</f>
        <v>276543</v>
      </c>
      <c r="E387" s="43">
        <f>ROUND(D387*VLOOKUP(B387,'Задание 2 (Справочник)'!$B$8:$D$12,2,FALSE)/(1-VLOOKUP(B387,'Задание 2 (Справочник)'!$B$8:$D$12,3,FALSE)),0)</f>
        <v>230453</v>
      </c>
      <c r="F387" s="43">
        <f>VLOOKUP(A387,'Задание 2 (Известные данные)'!$A$2:$D$501,3,FALSE)</f>
        <v>174222</v>
      </c>
      <c r="G387" s="37">
        <f>F387*VLOOKUP(A387,'Задание 2 (Известные данные)'!$A$2:$D$501,4,FALSE)/1000</f>
        <v>19687.086</v>
      </c>
      <c r="H387" s="43">
        <f>ROUND(E387*VLOOKUP(C387,'Задание 2 (Справочник)'!$B$16:$C$18,2,FALSE),0)</f>
        <v>1728</v>
      </c>
      <c r="I387" s="43">
        <f t="shared" si="2"/>
        <v>9860.82</v>
      </c>
    </row>
    <row r="388" ht="13.5" customHeight="1">
      <c r="A388" s="1" t="s">
        <v>494</v>
      </c>
      <c r="B388" s="1" t="s">
        <v>78</v>
      </c>
      <c r="C388" s="41" t="str">
        <f t="shared" si="1"/>
        <v>Средний</v>
      </c>
      <c r="D388" s="42">
        <f>VLOOKUP(A388,'Задание 2 (Известные данные)'!$A$2:$D$501,2,FALSE)</f>
        <v>154321</v>
      </c>
      <c r="E388" s="43">
        <f>ROUND(D388*VLOOKUP(B388,'Задание 2 (Справочник)'!$B$8:$D$12,2,FALSE)/(1-VLOOKUP(B388,'Задание 2 (Справочник)'!$B$8:$D$12,3,FALSE)),0)</f>
        <v>128601</v>
      </c>
      <c r="F388" s="43">
        <f>VLOOKUP(A388,'Задание 2 (Известные данные)'!$A$2:$D$501,3,FALSE)</f>
        <v>97222</v>
      </c>
      <c r="G388" s="37">
        <f>F388*VLOOKUP(A388,'Задание 2 (Известные данные)'!$A$2:$D$501,4,FALSE)/1000</f>
        <v>10013.866</v>
      </c>
      <c r="H388" s="43">
        <f>ROUND(E388*VLOOKUP(C388,'Задание 2 (Справочник)'!$B$16:$C$18,2,FALSE),0)</f>
        <v>965</v>
      </c>
      <c r="I388" s="43">
        <f t="shared" si="2"/>
        <v>5016.58</v>
      </c>
    </row>
    <row r="389" ht="13.5" customHeight="1">
      <c r="A389" s="1" t="s">
        <v>495</v>
      </c>
      <c r="B389" s="1" t="s">
        <v>78</v>
      </c>
      <c r="C389" s="41" t="str">
        <f t="shared" si="1"/>
        <v>Средний</v>
      </c>
      <c r="D389" s="42">
        <f>VLOOKUP(A389,'Задание 2 (Известные данные)'!$A$2:$D$501,2,FALSE)</f>
        <v>298761</v>
      </c>
      <c r="E389" s="43">
        <f>ROUND(D389*VLOOKUP(B389,'Задание 2 (Справочник)'!$B$8:$D$12,2,FALSE)/(1-VLOOKUP(B389,'Задание 2 (Справочник)'!$B$8:$D$12,3,FALSE)),0)</f>
        <v>248968</v>
      </c>
      <c r="F389" s="43">
        <f>VLOOKUP(A389,'Задание 2 (Известные данные)'!$A$2:$D$501,3,FALSE)</f>
        <v>188220</v>
      </c>
      <c r="G389" s="37">
        <f>F389*VLOOKUP(A389,'Задание 2 (Известные данные)'!$A$2:$D$501,4,FALSE)/1000</f>
        <v>22586.4</v>
      </c>
      <c r="H389" s="43">
        <f>ROUND(E389*VLOOKUP(C389,'Задание 2 (Справочник)'!$B$16:$C$18,2,FALSE),0)</f>
        <v>1867</v>
      </c>
      <c r="I389" s="43">
        <f t="shared" si="2"/>
        <v>11311.87</v>
      </c>
    </row>
    <row r="390" ht="13.5" customHeight="1">
      <c r="A390" s="1" t="s">
        <v>496</v>
      </c>
      <c r="B390" s="1" t="s">
        <v>78</v>
      </c>
      <c r="C390" s="41" t="str">
        <f t="shared" si="1"/>
        <v>Средний</v>
      </c>
      <c r="D390" s="42">
        <f>VLOOKUP(A390,'Задание 2 (Известные данные)'!$A$2:$D$501,2,FALSE)</f>
        <v>187654</v>
      </c>
      <c r="E390" s="43">
        <f>ROUND(D390*VLOOKUP(B390,'Задание 2 (Справочник)'!$B$8:$D$12,2,FALSE)/(1-VLOOKUP(B390,'Задание 2 (Справочник)'!$B$8:$D$12,3,FALSE)),0)</f>
        <v>156378</v>
      </c>
      <c r="F390" s="43">
        <f>VLOOKUP(A390,'Задание 2 (Известные данные)'!$A$2:$D$501,3,FALSE)</f>
        <v>118222</v>
      </c>
      <c r="G390" s="37">
        <f>F390*VLOOKUP(A390,'Задание 2 (Известные данные)'!$A$2:$D$501,4,FALSE)/1000</f>
        <v>12649.754</v>
      </c>
      <c r="H390" s="43">
        <f>ROUND(E390*VLOOKUP(C390,'Задание 2 (Справочник)'!$B$16:$C$18,2,FALSE),0)</f>
        <v>1173</v>
      </c>
      <c r="I390" s="43">
        <f t="shared" si="2"/>
        <v>6336.61</v>
      </c>
    </row>
    <row r="391" ht="13.5" customHeight="1">
      <c r="A391" s="1" t="s">
        <v>497</v>
      </c>
      <c r="B391" s="1" t="s">
        <v>78</v>
      </c>
      <c r="C391" s="41" t="str">
        <f t="shared" si="1"/>
        <v>Средний</v>
      </c>
      <c r="D391" s="42">
        <f>VLOOKUP(A391,'Задание 2 (Известные данные)'!$A$2:$D$501,2,FALSE)</f>
        <v>345210</v>
      </c>
      <c r="E391" s="43">
        <f>ROUND(D391*VLOOKUP(B391,'Задание 2 (Справочник)'!$B$8:$D$12,2,FALSE)/(1-VLOOKUP(B391,'Задание 2 (Справочник)'!$B$8:$D$12,3,FALSE)),0)</f>
        <v>287675</v>
      </c>
      <c r="F391" s="43">
        <f>VLOOKUP(A391,'Задание 2 (Известные данные)'!$A$2:$D$501,3,FALSE)</f>
        <v>217482</v>
      </c>
      <c r="G391" s="37">
        <f>F391*VLOOKUP(A391,'Задание 2 (Известные данные)'!$A$2:$D$501,4,FALSE)/1000</f>
        <v>27402.732</v>
      </c>
      <c r="H391" s="43">
        <f>ROUND(E391*VLOOKUP(C391,'Задание 2 (Справочник)'!$B$16:$C$18,2,FALSE),0)</f>
        <v>2158</v>
      </c>
      <c r="I391" s="43">
        <f t="shared" si="2"/>
        <v>13722.95</v>
      </c>
    </row>
    <row r="392" ht="13.5" customHeight="1">
      <c r="A392" s="1" t="s">
        <v>498</v>
      </c>
      <c r="B392" s="1" t="s">
        <v>78</v>
      </c>
      <c r="C392" s="41" t="str">
        <f t="shared" si="1"/>
        <v>Средний</v>
      </c>
      <c r="D392" s="42">
        <f>VLOOKUP(A392,'Задание 2 (Известные данные)'!$A$2:$D$501,2,FALSE)</f>
        <v>165432</v>
      </c>
      <c r="E392" s="43">
        <f>ROUND(D392*VLOOKUP(B392,'Задание 2 (Справочник)'!$B$8:$D$12,2,FALSE)/(1-VLOOKUP(B392,'Задание 2 (Справочник)'!$B$8:$D$12,3,FALSE)),0)</f>
        <v>137860</v>
      </c>
      <c r="F392" s="43">
        <f>VLOOKUP(A392,'Задание 2 (Известные данные)'!$A$2:$D$501,3,FALSE)</f>
        <v>104222</v>
      </c>
      <c r="G392" s="37">
        <f>F392*VLOOKUP(A392,'Задание 2 (Известные данные)'!$A$2:$D$501,4,FALSE)/1000</f>
        <v>10839.088</v>
      </c>
      <c r="H392" s="43">
        <f>ROUND(E392*VLOOKUP(C392,'Задание 2 (Справочник)'!$B$16:$C$18,2,FALSE),0)</f>
        <v>1034</v>
      </c>
      <c r="I392" s="43">
        <f t="shared" si="2"/>
        <v>5429.88</v>
      </c>
    </row>
    <row r="393" ht="13.5" customHeight="1">
      <c r="A393" s="1" t="s">
        <v>499</v>
      </c>
      <c r="B393" s="1" t="s">
        <v>78</v>
      </c>
      <c r="C393" s="41" t="str">
        <f t="shared" si="1"/>
        <v>Средний</v>
      </c>
      <c r="D393" s="42">
        <f>VLOOKUP(A393,'Задание 2 (Известные данные)'!$A$2:$D$501,2,FALSE)</f>
        <v>278901</v>
      </c>
      <c r="E393" s="43">
        <f>ROUND(D393*VLOOKUP(B393,'Задание 2 (Справочник)'!$B$8:$D$12,2,FALSE)/(1-VLOOKUP(B393,'Задание 2 (Справочник)'!$B$8:$D$12,3,FALSE)),0)</f>
        <v>232418</v>
      </c>
      <c r="F393" s="43">
        <f>VLOOKUP(A393,'Задание 2 (Известные данные)'!$A$2:$D$501,3,FALSE)</f>
        <v>175708</v>
      </c>
      <c r="G393" s="37">
        <f>F393*VLOOKUP(A393,'Задание 2 (Известные данные)'!$A$2:$D$501,4,FALSE)/1000</f>
        <v>20382.128</v>
      </c>
      <c r="H393" s="43">
        <f>ROUND(E393*VLOOKUP(C393,'Задание 2 (Справочник)'!$B$16:$C$18,2,FALSE),0)</f>
        <v>1743</v>
      </c>
      <c r="I393" s="43">
        <f t="shared" si="2"/>
        <v>10208.49</v>
      </c>
    </row>
    <row r="394" ht="13.5" customHeight="1">
      <c r="A394" s="1" t="s">
        <v>500</v>
      </c>
      <c r="B394" s="1" t="s">
        <v>78</v>
      </c>
      <c r="C394" s="41" t="str">
        <f t="shared" si="1"/>
        <v>Средний</v>
      </c>
      <c r="D394" s="42">
        <f>VLOOKUP(A394,'Задание 2 (Известные данные)'!$A$2:$D$501,2,FALSE)</f>
        <v>199876</v>
      </c>
      <c r="E394" s="43">
        <f>ROUND(D394*VLOOKUP(B394,'Задание 2 (Справочник)'!$B$8:$D$12,2,FALSE)/(1-VLOOKUP(B394,'Задание 2 (Справочник)'!$B$8:$D$12,3,FALSE)),0)</f>
        <v>166563</v>
      </c>
      <c r="F394" s="43">
        <f>VLOOKUP(A394,'Задание 2 (Известные данные)'!$A$2:$D$501,3,FALSE)</f>
        <v>125922</v>
      </c>
      <c r="G394" s="37">
        <f>F394*VLOOKUP(A394,'Задание 2 (Известные данные)'!$A$2:$D$501,4,FALSE)/1000</f>
        <v>13851.42</v>
      </c>
      <c r="H394" s="43">
        <f>ROUND(E394*VLOOKUP(C394,'Задание 2 (Справочник)'!$B$16:$C$18,2,FALSE),0)</f>
        <v>1249</v>
      </c>
      <c r="I394" s="43">
        <f t="shared" si="2"/>
        <v>6938.2</v>
      </c>
    </row>
    <row r="395" ht="13.5" customHeight="1">
      <c r="A395" s="1" t="s">
        <v>501</v>
      </c>
      <c r="B395" s="1" t="s">
        <v>78</v>
      </c>
      <c r="C395" s="41" t="str">
        <f t="shared" si="1"/>
        <v>Маленький</v>
      </c>
      <c r="D395" s="42">
        <f>VLOOKUP(A395,'Задание 2 (Известные данные)'!$A$2:$D$501,2,FALSE)</f>
        <v>54321</v>
      </c>
      <c r="E395" s="43">
        <f>ROUND(D395*VLOOKUP(B395,'Задание 2 (Справочник)'!$B$8:$D$12,2,FALSE)/(1-VLOOKUP(B395,'Задание 2 (Справочник)'!$B$8:$D$12,3,FALSE)),0)</f>
        <v>45268</v>
      </c>
      <c r="F395" s="43">
        <f>VLOOKUP(A395,'Задание 2 (Известные данные)'!$A$2:$D$501,3,FALSE)</f>
        <v>34222</v>
      </c>
      <c r="G395" s="37">
        <f>F395*VLOOKUP(A395,'Задание 2 (Известные данные)'!$A$2:$D$501,4,FALSE)/1000</f>
        <v>3045.758</v>
      </c>
      <c r="H395" s="43">
        <f>ROUND(E395*VLOOKUP(C395,'Задание 2 (Справочник)'!$B$16:$C$18,2,FALSE),0)</f>
        <v>453</v>
      </c>
      <c r="I395" s="43">
        <f t="shared" si="2"/>
        <v>1527.41</v>
      </c>
    </row>
    <row r="396" ht="13.5" customHeight="1">
      <c r="A396" s="1" t="s">
        <v>502</v>
      </c>
      <c r="B396" s="1" t="s">
        <v>78</v>
      </c>
      <c r="C396" s="41" t="str">
        <f t="shared" si="1"/>
        <v>Маленький</v>
      </c>
      <c r="D396" s="42">
        <f>VLOOKUP(A396,'Задание 2 (Известные данные)'!$A$2:$D$501,2,FALSE)</f>
        <v>87654</v>
      </c>
      <c r="E396" s="43">
        <f>ROUND(D396*VLOOKUP(B396,'Задание 2 (Справочник)'!$B$8:$D$12,2,FALSE)/(1-VLOOKUP(B396,'Задание 2 (Справочник)'!$B$8:$D$12,3,FALSE)),0)</f>
        <v>73045</v>
      </c>
      <c r="F396" s="43">
        <f>VLOOKUP(A396,'Задание 2 (Известные данные)'!$A$2:$D$501,3,FALSE)</f>
        <v>55222</v>
      </c>
      <c r="G396" s="37">
        <f>F396*VLOOKUP(A396,'Задание 2 (Известные данные)'!$A$2:$D$501,4,FALSE)/1000</f>
        <v>5687.866</v>
      </c>
      <c r="H396" s="43">
        <f>ROUND(E396*VLOOKUP(C396,'Задание 2 (Справочник)'!$B$16:$C$18,2,FALSE),0)</f>
        <v>730</v>
      </c>
      <c r="I396" s="43">
        <f t="shared" si="2"/>
        <v>2851.23</v>
      </c>
    </row>
    <row r="397" ht="13.5" customHeight="1">
      <c r="A397" s="1" t="s">
        <v>503</v>
      </c>
      <c r="B397" s="1" t="s">
        <v>78</v>
      </c>
      <c r="C397" s="41" t="str">
        <f t="shared" si="1"/>
        <v>Маленький</v>
      </c>
      <c r="D397" s="42">
        <f>VLOOKUP(A397,'Задание 2 (Известные данные)'!$A$2:$D$501,2,FALSE)</f>
        <v>23456</v>
      </c>
      <c r="E397" s="43">
        <f>ROUND(D397*VLOOKUP(B397,'Задание 2 (Справочник)'!$B$8:$D$12,2,FALSE)/(1-VLOOKUP(B397,'Задание 2 (Справочник)'!$B$8:$D$12,3,FALSE)),0)</f>
        <v>19547</v>
      </c>
      <c r="F397" s="43">
        <f>VLOOKUP(A397,'Задание 2 (Известные данные)'!$A$2:$D$501,3,FALSE)</f>
        <v>14777</v>
      </c>
      <c r="G397" s="37">
        <f>F397*VLOOKUP(A397,'Задание 2 (Известные данные)'!$A$2:$D$501,4,FALSE)/1000</f>
        <v>1123.052</v>
      </c>
      <c r="H397" s="43">
        <f>ROUND(E397*VLOOKUP(C397,'Задание 2 (Справочник)'!$B$16:$C$18,2,FALSE),0)</f>
        <v>195</v>
      </c>
      <c r="I397" s="43">
        <f t="shared" si="2"/>
        <v>563.48</v>
      </c>
    </row>
    <row r="398" ht="13.5" customHeight="1">
      <c r="A398" s="1" t="s">
        <v>504</v>
      </c>
      <c r="B398" s="1" t="s">
        <v>78</v>
      </c>
      <c r="C398" s="41" t="str">
        <f t="shared" si="1"/>
        <v>Маленький</v>
      </c>
      <c r="D398" s="42">
        <f>VLOOKUP(A398,'Задание 2 (Известные данные)'!$A$2:$D$501,2,FALSE)</f>
        <v>98765</v>
      </c>
      <c r="E398" s="43">
        <f>ROUND(D398*VLOOKUP(B398,'Задание 2 (Справочник)'!$B$8:$D$12,2,FALSE)/(1-VLOOKUP(B398,'Задание 2 (Справочник)'!$B$8:$D$12,3,FALSE)),0)</f>
        <v>82304</v>
      </c>
      <c r="F398" s="43">
        <f>VLOOKUP(A398,'Задание 2 (Известные данные)'!$A$2:$D$501,3,FALSE)</f>
        <v>62222</v>
      </c>
      <c r="G398" s="37">
        <f>F398*VLOOKUP(A398,'Задание 2 (Известные данные)'!$A$2:$D$501,4,FALSE)/1000</f>
        <v>6719.976</v>
      </c>
      <c r="H398" s="43">
        <f>ROUND(E398*VLOOKUP(C398,'Задание 2 (Справочник)'!$B$16:$C$18,2,FALSE),0)</f>
        <v>823</v>
      </c>
      <c r="I398" s="43">
        <f t="shared" si="2"/>
        <v>3368.22</v>
      </c>
    </row>
    <row r="399" ht="13.5" customHeight="1">
      <c r="A399" s="1" t="s">
        <v>505</v>
      </c>
      <c r="B399" s="1" t="s">
        <v>78</v>
      </c>
      <c r="C399" s="41" t="str">
        <f t="shared" si="1"/>
        <v>Маленький</v>
      </c>
      <c r="D399" s="42">
        <f>VLOOKUP(A399,'Задание 2 (Известные данные)'!$A$2:$D$501,2,FALSE)</f>
        <v>34567</v>
      </c>
      <c r="E399" s="43">
        <f>ROUND(D399*VLOOKUP(B399,'Задание 2 (Справочник)'!$B$8:$D$12,2,FALSE)/(1-VLOOKUP(B399,'Задание 2 (Справочник)'!$B$8:$D$12,3,FALSE)),0)</f>
        <v>28806</v>
      </c>
      <c r="F399" s="43">
        <f>VLOOKUP(A399,'Задание 2 (Известные данные)'!$A$2:$D$501,3,FALSE)</f>
        <v>21777</v>
      </c>
      <c r="G399" s="37">
        <f>F399*VLOOKUP(A399,'Задание 2 (Известные данные)'!$A$2:$D$501,4,FALSE)/1000</f>
        <v>1829.268</v>
      </c>
      <c r="H399" s="43">
        <f>ROUND(E399*VLOOKUP(C399,'Задание 2 (Справочник)'!$B$16:$C$18,2,FALSE),0)</f>
        <v>288</v>
      </c>
      <c r="I399" s="43">
        <f t="shared" si="2"/>
        <v>917.51</v>
      </c>
    </row>
    <row r="400" ht="13.5" customHeight="1">
      <c r="A400" s="1" t="s">
        <v>506</v>
      </c>
      <c r="B400" s="1" t="s">
        <v>78</v>
      </c>
      <c r="C400" s="41" t="str">
        <f t="shared" si="1"/>
        <v>Маленький</v>
      </c>
      <c r="D400" s="42">
        <f>VLOOKUP(A400,'Задание 2 (Известные данные)'!$A$2:$D$501,2,FALSE)</f>
        <v>65432</v>
      </c>
      <c r="E400" s="43">
        <f>ROUND(D400*VLOOKUP(B400,'Задание 2 (Справочник)'!$B$8:$D$12,2,FALSE)/(1-VLOOKUP(B400,'Задание 2 (Справочник)'!$B$8:$D$12,3,FALSE)),0)</f>
        <v>54527</v>
      </c>
      <c r="F400" s="43">
        <f>VLOOKUP(A400,'Задание 2 (Известные данные)'!$A$2:$D$501,3,FALSE)</f>
        <v>41222</v>
      </c>
      <c r="G400" s="37">
        <f>F400*VLOOKUP(A400,'Задание 2 (Известные данные)'!$A$2:$D$501,4,FALSE)/1000</f>
        <v>3916.09</v>
      </c>
      <c r="H400" s="43">
        <f>ROUND(E400*VLOOKUP(C400,'Задание 2 (Справочник)'!$B$16:$C$18,2,FALSE),0)</f>
        <v>545</v>
      </c>
      <c r="I400" s="43">
        <f t="shared" si="2"/>
        <v>1963.5</v>
      </c>
    </row>
    <row r="401" ht="13.5" customHeight="1">
      <c r="A401" s="1" t="s">
        <v>507</v>
      </c>
      <c r="B401" s="1" t="s">
        <v>78</v>
      </c>
      <c r="C401" s="41" t="str">
        <f t="shared" si="1"/>
        <v>Маленький</v>
      </c>
      <c r="D401" s="42">
        <f>VLOOKUP(A401,'Задание 2 (Известные данные)'!$A$2:$D$501,2,FALSE)</f>
        <v>12345</v>
      </c>
      <c r="E401" s="43">
        <f>ROUND(D401*VLOOKUP(B401,'Задание 2 (Справочник)'!$B$8:$D$12,2,FALSE)/(1-VLOOKUP(B401,'Задание 2 (Справочник)'!$B$8:$D$12,3,FALSE)),0)</f>
        <v>10288</v>
      </c>
      <c r="F401" s="43">
        <f>VLOOKUP(A401,'Задание 2 (Известные данные)'!$A$2:$D$501,3,FALSE)</f>
        <v>7778</v>
      </c>
      <c r="G401" s="37">
        <f>F401*VLOOKUP(A401,'Задание 2 (Известные данные)'!$A$2:$D$501,4,FALSE)/1000</f>
        <v>536.682</v>
      </c>
      <c r="H401" s="43">
        <f>ROUND(E401*VLOOKUP(C401,'Задание 2 (Справочник)'!$B$16:$C$18,2,FALSE),0)</f>
        <v>103</v>
      </c>
      <c r="I401" s="43">
        <f t="shared" si="2"/>
        <v>269.37</v>
      </c>
    </row>
    <row r="402" ht="13.5" customHeight="1">
      <c r="A402" s="1" t="s">
        <v>508</v>
      </c>
      <c r="B402" s="1" t="s">
        <v>78</v>
      </c>
      <c r="C402" s="41" t="str">
        <f t="shared" si="1"/>
        <v>Маленький</v>
      </c>
      <c r="D402" s="42">
        <f>VLOOKUP(A402,'Задание 2 (Известные данные)'!$A$2:$D$501,2,FALSE)</f>
        <v>76543</v>
      </c>
      <c r="E402" s="43">
        <f>ROUND(D402*VLOOKUP(B402,'Задание 2 (Справочник)'!$B$8:$D$12,2,FALSE)/(1-VLOOKUP(B402,'Задание 2 (Справочник)'!$B$8:$D$12,3,FALSE)),0)</f>
        <v>63786</v>
      </c>
      <c r="F402" s="43">
        <f>VLOOKUP(A402,'Задание 2 (Известные данные)'!$A$2:$D$501,3,FALSE)</f>
        <v>48222</v>
      </c>
      <c r="G402" s="37">
        <f>F402*VLOOKUP(A402,'Задание 2 (Известные данные)'!$A$2:$D$501,4,FALSE)/1000</f>
        <v>4822.2</v>
      </c>
      <c r="H402" s="43">
        <f>ROUND(E402*VLOOKUP(C402,'Задание 2 (Справочник)'!$B$16:$C$18,2,FALSE),0)</f>
        <v>638</v>
      </c>
      <c r="I402" s="43">
        <f t="shared" si="2"/>
        <v>2417.48</v>
      </c>
    </row>
    <row r="403" ht="13.5" customHeight="1">
      <c r="A403" s="1" t="s">
        <v>509</v>
      </c>
      <c r="B403" s="1" t="s">
        <v>78</v>
      </c>
      <c r="C403" s="41" t="str">
        <f t="shared" si="1"/>
        <v>Маленький</v>
      </c>
      <c r="D403" s="42">
        <f>VLOOKUP(A403,'Задание 2 (Известные данные)'!$A$2:$D$501,2,FALSE)</f>
        <v>43210</v>
      </c>
      <c r="E403" s="43">
        <f>ROUND(D403*VLOOKUP(B403,'Задание 2 (Справочник)'!$B$8:$D$12,2,FALSE)/(1-VLOOKUP(B403,'Задание 2 (Справочник)'!$B$8:$D$12,3,FALSE)),0)</f>
        <v>36008</v>
      </c>
      <c r="F403" s="43">
        <f>VLOOKUP(A403,'Задание 2 (Известные данные)'!$A$2:$D$501,3,FALSE)</f>
        <v>27222</v>
      </c>
      <c r="G403" s="37">
        <f>F403*VLOOKUP(A403,'Задание 2 (Известные данные)'!$A$2:$D$501,4,FALSE)/1000</f>
        <v>2204.982</v>
      </c>
      <c r="H403" s="43">
        <f>ROUND(E403*VLOOKUP(C403,'Задание 2 (Справочник)'!$B$16:$C$18,2,FALSE),0)</f>
        <v>360</v>
      </c>
      <c r="I403" s="43">
        <f t="shared" si="2"/>
        <v>1106.09</v>
      </c>
    </row>
    <row r="404" ht="13.5" customHeight="1">
      <c r="A404" s="1" t="s">
        <v>510</v>
      </c>
      <c r="B404" s="1" t="s">
        <v>78</v>
      </c>
      <c r="C404" s="41" t="str">
        <f t="shared" si="1"/>
        <v>Маленький</v>
      </c>
      <c r="D404" s="42">
        <f>VLOOKUP(A404,'Задание 2 (Известные данные)'!$A$2:$D$501,2,FALSE)</f>
        <v>56789</v>
      </c>
      <c r="E404" s="43">
        <f>ROUND(D404*VLOOKUP(B404,'Задание 2 (Справочник)'!$B$8:$D$12,2,FALSE)/(1-VLOOKUP(B404,'Задание 2 (Справочник)'!$B$8:$D$12,3,FALSE)),0)</f>
        <v>47324</v>
      </c>
      <c r="F404" s="43">
        <f>VLOOKUP(A404,'Задание 2 (Известные данные)'!$A$2:$D$501,3,FALSE)</f>
        <v>35777</v>
      </c>
      <c r="G404" s="37">
        <f>F404*VLOOKUP(A404,'Задание 2 (Известные данные)'!$A$2:$D$501,4,FALSE)/1000</f>
        <v>3291.484</v>
      </c>
      <c r="H404" s="43">
        <f>ROUND(E404*VLOOKUP(C404,'Задание 2 (Справочник)'!$B$16:$C$18,2,FALSE),0)</f>
        <v>473</v>
      </c>
      <c r="I404" s="43">
        <f t="shared" si="2"/>
        <v>1650.47</v>
      </c>
    </row>
    <row r="405" ht="13.5" customHeight="1">
      <c r="A405" s="1" t="s">
        <v>511</v>
      </c>
      <c r="B405" s="1" t="s">
        <v>78</v>
      </c>
      <c r="C405" s="41" t="str">
        <f t="shared" si="1"/>
        <v>Маленький</v>
      </c>
      <c r="D405" s="42">
        <f>VLOOKUP(A405,'Задание 2 (Известные данные)'!$A$2:$D$501,2,FALSE)</f>
        <v>87654</v>
      </c>
      <c r="E405" s="43">
        <f>ROUND(D405*VLOOKUP(B405,'Задание 2 (Справочник)'!$B$8:$D$12,2,FALSE)/(1-VLOOKUP(B405,'Задание 2 (Справочник)'!$B$8:$D$12,3,FALSE)),0)</f>
        <v>73045</v>
      </c>
      <c r="F405" s="43">
        <f>VLOOKUP(A405,'Задание 2 (Известные данные)'!$A$2:$D$501,3,FALSE)</f>
        <v>55222</v>
      </c>
      <c r="G405" s="37">
        <f>F405*VLOOKUP(A405,'Задание 2 (Известные данные)'!$A$2:$D$501,4,FALSE)/1000</f>
        <v>5743.088</v>
      </c>
      <c r="H405" s="43">
        <f>ROUND(E405*VLOOKUP(C405,'Задание 2 (Справочник)'!$B$16:$C$18,2,FALSE),0)</f>
        <v>730</v>
      </c>
      <c r="I405" s="43">
        <f t="shared" si="2"/>
        <v>2878.84</v>
      </c>
    </row>
    <row r="406" ht="13.5" customHeight="1">
      <c r="A406" s="1" t="s">
        <v>512</v>
      </c>
      <c r="B406" s="1" t="s">
        <v>78</v>
      </c>
      <c r="C406" s="41" t="str">
        <f t="shared" si="1"/>
        <v>Маленький</v>
      </c>
      <c r="D406" s="42">
        <f>VLOOKUP(A406,'Задание 2 (Известные данные)'!$A$2:$D$501,2,FALSE)</f>
        <v>23456</v>
      </c>
      <c r="E406" s="43">
        <f>ROUND(D406*VLOOKUP(B406,'Задание 2 (Справочник)'!$B$8:$D$12,2,FALSE)/(1-VLOOKUP(B406,'Задание 2 (Справочник)'!$B$8:$D$12,3,FALSE)),0)</f>
        <v>19547</v>
      </c>
      <c r="F406" s="43">
        <f>VLOOKUP(A406,'Задание 2 (Известные данные)'!$A$2:$D$501,3,FALSE)</f>
        <v>14777</v>
      </c>
      <c r="G406" s="37">
        <f>F406*VLOOKUP(A406,'Задание 2 (Известные данные)'!$A$2:$D$501,4,FALSE)/1000</f>
        <v>1108.275</v>
      </c>
      <c r="H406" s="43">
        <f>ROUND(E406*VLOOKUP(C406,'Задание 2 (Справочник)'!$B$16:$C$18,2,FALSE),0)</f>
        <v>195</v>
      </c>
      <c r="I406" s="43">
        <f t="shared" si="2"/>
        <v>556.09</v>
      </c>
    </row>
    <row r="407" ht="13.5" customHeight="1">
      <c r="A407" s="1" t="s">
        <v>513</v>
      </c>
      <c r="B407" s="1" t="s">
        <v>78</v>
      </c>
      <c r="C407" s="41" t="str">
        <f t="shared" si="1"/>
        <v>Маленький</v>
      </c>
      <c r="D407" s="42">
        <f>VLOOKUP(A407,'Задание 2 (Известные данные)'!$A$2:$D$501,2,FALSE)</f>
        <v>98765</v>
      </c>
      <c r="E407" s="43">
        <f>ROUND(D407*VLOOKUP(B407,'Задание 2 (Справочник)'!$B$8:$D$12,2,FALSE)/(1-VLOOKUP(B407,'Задание 2 (Справочник)'!$B$8:$D$12,3,FALSE)),0)</f>
        <v>82304</v>
      </c>
      <c r="F407" s="43">
        <f>VLOOKUP(A407,'Задание 2 (Известные данные)'!$A$2:$D$501,3,FALSE)</f>
        <v>62222</v>
      </c>
      <c r="G407" s="37">
        <f>F407*VLOOKUP(A407,'Задание 2 (Известные данные)'!$A$2:$D$501,4,FALSE)/1000</f>
        <v>6782.198</v>
      </c>
      <c r="H407" s="43">
        <f>ROUND(E407*VLOOKUP(C407,'Задание 2 (Справочник)'!$B$16:$C$18,2,FALSE),0)</f>
        <v>823</v>
      </c>
      <c r="I407" s="43">
        <f t="shared" si="2"/>
        <v>3399.33</v>
      </c>
    </row>
    <row r="408" ht="13.5" customHeight="1">
      <c r="A408" s="1" t="s">
        <v>514</v>
      </c>
      <c r="B408" s="1" t="s">
        <v>78</v>
      </c>
      <c r="C408" s="41" t="str">
        <f t="shared" si="1"/>
        <v>Маленький</v>
      </c>
      <c r="D408" s="42">
        <f>VLOOKUP(A408,'Задание 2 (Известные данные)'!$A$2:$D$501,2,FALSE)</f>
        <v>34567</v>
      </c>
      <c r="E408" s="43">
        <f>ROUND(D408*VLOOKUP(B408,'Задание 2 (Справочник)'!$B$8:$D$12,2,FALSE)/(1-VLOOKUP(B408,'Задание 2 (Справочник)'!$B$8:$D$12,3,FALSE)),0)</f>
        <v>28806</v>
      </c>
      <c r="F408" s="43">
        <f>VLOOKUP(A408,'Задание 2 (Известные данные)'!$A$2:$D$501,3,FALSE)</f>
        <v>21777</v>
      </c>
      <c r="G408" s="37">
        <f>F408*VLOOKUP(A408,'Задание 2 (Известные данные)'!$A$2:$D$501,4,FALSE)/1000</f>
        <v>1851.045</v>
      </c>
      <c r="H408" s="43">
        <f>ROUND(E408*VLOOKUP(C408,'Задание 2 (Справочник)'!$B$16:$C$18,2,FALSE),0)</f>
        <v>288</v>
      </c>
      <c r="I408" s="43">
        <f t="shared" si="2"/>
        <v>928.4</v>
      </c>
    </row>
    <row r="409" ht="13.5" customHeight="1">
      <c r="A409" s="1" t="s">
        <v>515</v>
      </c>
      <c r="B409" s="1" t="s">
        <v>78</v>
      </c>
      <c r="C409" s="41" t="str">
        <f t="shared" si="1"/>
        <v>Маленький</v>
      </c>
      <c r="D409" s="42">
        <f>VLOOKUP(A409,'Задание 2 (Известные данные)'!$A$2:$D$501,2,FALSE)</f>
        <v>65432</v>
      </c>
      <c r="E409" s="43">
        <f>ROUND(D409*VLOOKUP(B409,'Задание 2 (Справочник)'!$B$8:$D$12,2,FALSE)/(1-VLOOKUP(B409,'Задание 2 (Справочник)'!$B$8:$D$12,3,FALSE)),0)</f>
        <v>54527</v>
      </c>
      <c r="F409" s="43">
        <f>VLOOKUP(A409,'Задание 2 (Известные данные)'!$A$2:$D$501,3,FALSE)</f>
        <v>41222</v>
      </c>
      <c r="G409" s="37">
        <f>F409*VLOOKUP(A409,'Задание 2 (Известные данные)'!$A$2:$D$501,4,FALSE)/1000</f>
        <v>3874.868</v>
      </c>
      <c r="H409" s="43">
        <f>ROUND(E409*VLOOKUP(C409,'Задание 2 (Справочник)'!$B$16:$C$18,2,FALSE),0)</f>
        <v>545</v>
      </c>
      <c r="I409" s="43">
        <f t="shared" si="2"/>
        <v>1942.88</v>
      </c>
    </row>
    <row r="410" ht="13.5" customHeight="1">
      <c r="A410" s="1" t="s">
        <v>516</v>
      </c>
      <c r="B410" s="1" t="s">
        <v>78</v>
      </c>
      <c r="C410" s="41" t="str">
        <f t="shared" si="1"/>
        <v>Маленький</v>
      </c>
      <c r="D410" s="42">
        <f>VLOOKUP(A410,'Задание 2 (Известные данные)'!$A$2:$D$501,2,FALSE)</f>
        <v>12345</v>
      </c>
      <c r="E410" s="43">
        <f>ROUND(D410*VLOOKUP(B410,'Задание 2 (Справочник)'!$B$8:$D$12,2,FALSE)/(1-VLOOKUP(B410,'Задание 2 (Справочник)'!$B$8:$D$12,3,FALSE)),0)</f>
        <v>10288</v>
      </c>
      <c r="F410" s="43">
        <f>VLOOKUP(A410,'Задание 2 (Известные данные)'!$A$2:$D$501,3,FALSE)</f>
        <v>7778</v>
      </c>
      <c r="G410" s="37">
        <f>F410*VLOOKUP(A410,'Задание 2 (Известные данные)'!$A$2:$D$501,4,FALSE)/1000</f>
        <v>544.46</v>
      </c>
      <c r="H410" s="43">
        <f>ROUND(E410*VLOOKUP(C410,'Задание 2 (Справочник)'!$B$16:$C$18,2,FALSE),0)</f>
        <v>103</v>
      </c>
      <c r="I410" s="43">
        <f t="shared" si="2"/>
        <v>273.26</v>
      </c>
    </row>
    <row r="411" ht="13.5" customHeight="1">
      <c r="A411" s="1" t="s">
        <v>517</v>
      </c>
      <c r="B411" s="1" t="s">
        <v>78</v>
      </c>
      <c r="C411" s="41" t="str">
        <f t="shared" si="1"/>
        <v>Маленький</v>
      </c>
      <c r="D411" s="42">
        <f>VLOOKUP(A411,'Задание 2 (Известные данные)'!$A$2:$D$501,2,FALSE)</f>
        <v>76543</v>
      </c>
      <c r="E411" s="43">
        <f>ROUND(D411*VLOOKUP(B411,'Задание 2 (Справочник)'!$B$8:$D$12,2,FALSE)/(1-VLOOKUP(B411,'Задание 2 (Справочник)'!$B$8:$D$12,3,FALSE)),0)</f>
        <v>63786</v>
      </c>
      <c r="F411" s="43">
        <f>VLOOKUP(A411,'Задание 2 (Известные данные)'!$A$2:$D$501,3,FALSE)</f>
        <v>48222</v>
      </c>
      <c r="G411" s="37">
        <f>F411*VLOOKUP(A411,'Задание 2 (Известные данные)'!$A$2:$D$501,4,FALSE)/1000</f>
        <v>4870.422</v>
      </c>
      <c r="H411" s="43">
        <f>ROUND(E411*VLOOKUP(C411,'Задание 2 (Справочник)'!$B$16:$C$18,2,FALSE),0)</f>
        <v>638</v>
      </c>
      <c r="I411" s="43">
        <f t="shared" si="2"/>
        <v>2441.59</v>
      </c>
    </row>
    <row r="412" ht="13.5" customHeight="1">
      <c r="A412" s="1" t="s">
        <v>518</v>
      </c>
      <c r="B412" s="1" t="s">
        <v>78</v>
      </c>
      <c r="C412" s="41" t="str">
        <f t="shared" si="1"/>
        <v>Маленький</v>
      </c>
      <c r="D412" s="42">
        <f>VLOOKUP(A412,'Задание 2 (Известные данные)'!$A$2:$D$501,2,FALSE)</f>
        <v>43210</v>
      </c>
      <c r="E412" s="43">
        <f>ROUND(D412*VLOOKUP(B412,'Задание 2 (Справочник)'!$B$8:$D$12,2,FALSE)/(1-VLOOKUP(B412,'Задание 2 (Справочник)'!$B$8:$D$12,3,FALSE)),0)</f>
        <v>36008</v>
      </c>
      <c r="F412" s="43">
        <f>VLOOKUP(A412,'Задание 2 (Известные данные)'!$A$2:$D$501,3,FALSE)</f>
        <v>27222</v>
      </c>
      <c r="G412" s="37">
        <f>F412*VLOOKUP(A412,'Задание 2 (Известные данные)'!$A$2:$D$501,4,FALSE)/1000</f>
        <v>2232.204</v>
      </c>
      <c r="H412" s="43">
        <f>ROUND(E412*VLOOKUP(C412,'Задание 2 (Справочник)'!$B$16:$C$18,2,FALSE),0)</f>
        <v>360</v>
      </c>
      <c r="I412" s="43">
        <f t="shared" si="2"/>
        <v>1119.7</v>
      </c>
    </row>
    <row r="413" ht="13.5" customHeight="1">
      <c r="A413" s="1" t="s">
        <v>519</v>
      </c>
      <c r="B413" s="1" t="s">
        <v>78</v>
      </c>
      <c r="C413" s="41" t="str">
        <f t="shared" si="1"/>
        <v>Маленький</v>
      </c>
      <c r="D413" s="42">
        <f>VLOOKUP(A413,'Задание 2 (Известные данные)'!$A$2:$D$501,2,FALSE)</f>
        <v>56789</v>
      </c>
      <c r="E413" s="43">
        <f>ROUND(D413*VLOOKUP(B413,'Задание 2 (Справочник)'!$B$8:$D$12,2,FALSE)/(1-VLOOKUP(B413,'Задание 2 (Справочник)'!$B$8:$D$12,3,FALSE)),0)</f>
        <v>47324</v>
      </c>
      <c r="F413" s="43">
        <f>VLOOKUP(A413,'Задание 2 (Известные данные)'!$A$2:$D$501,3,FALSE)</f>
        <v>35777</v>
      </c>
      <c r="G413" s="37">
        <f>F413*VLOOKUP(A413,'Задание 2 (Известные данные)'!$A$2:$D$501,4,FALSE)/1000</f>
        <v>3327.261</v>
      </c>
      <c r="H413" s="43">
        <f>ROUND(E413*VLOOKUP(C413,'Задание 2 (Справочник)'!$B$16:$C$18,2,FALSE),0)</f>
        <v>473</v>
      </c>
      <c r="I413" s="43">
        <f t="shared" si="2"/>
        <v>1668.36</v>
      </c>
    </row>
    <row r="414" ht="13.5" customHeight="1">
      <c r="A414" s="1" t="s">
        <v>520</v>
      </c>
      <c r="B414" s="1" t="s">
        <v>78</v>
      </c>
      <c r="C414" s="41" t="str">
        <f t="shared" si="1"/>
        <v>Маленький</v>
      </c>
      <c r="D414" s="42">
        <f>VLOOKUP(A414,'Задание 2 (Известные данные)'!$A$2:$D$501,2,FALSE)</f>
        <v>87654</v>
      </c>
      <c r="E414" s="43">
        <f>ROUND(D414*VLOOKUP(B414,'Задание 2 (Справочник)'!$B$8:$D$12,2,FALSE)/(1-VLOOKUP(B414,'Задание 2 (Справочник)'!$B$8:$D$12,3,FALSE)),0)</f>
        <v>73045</v>
      </c>
      <c r="F414" s="43">
        <f>VLOOKUP(A414,'Задание 2 (Известные данные)'!$A$2:$D$501,3,FALSE)</f>
        <v>55222</v>
      </c>
      <c r="G414" s="37">
        <f>F414*VLOOKUP(A414,'Задание 2 (Известные данные)'!$A$2:$D$501,4,FALSE)/1000</f>
        <v>5798.31</v>
      </c>
      <c r="H414" s="43">
        <f>ROUND(E414*VLOOKUP(C414,'Задание 2 (Справочник)'!$B$16:$C$18,2,FALSE),0)</f>
        <v>730</v>
      </c>
      <c r="I414" s="43">
        <f t="shared" si="2"/>
        <v>2906.46</v>
      </c>
    </row>
    <row r="415" ht="13.5" customHeight="1">
      <c r="A415" s="1" t="s">
        <v>521</v>
      </c>
      <c r="B415" s="1" t="s">
        <v>78</v>
      </c>
      <c r="C415" s="41" t="str">
        <f t="shared" si="1"/>
        <v>Маленький</v>
      </c>
      <c r="D415" s="42">
        <f>VLOOKUP(A415,'Задание 2 (Известные данные)'!$A$2:$D$501,2,FALSE)</f>
        <v>23456</v>
      </c>
      <c r="E415" s="43">
        <f>ROUND(D415*VLOOKUP(B415,'Задание 2 (Справочник)'!$B$8:$D$12,2,FALSE)/(1-VLOOKUP(B415,'Задание 2 (Справочник)'!$B$8:$D$12,3,FALSE)),0)</f>
        <v>19547</v>
      </c>
      <c r="F415" s="43">
        <f>VLOOKUP(A415,'Задание 2 (Известные данные)'!$A$2:$D$501,3,FALSE)</f>
        <v>14777</v>
      </c>
      <c r="G415" s="37">
        <f>F415*VLOOKUP(A415,'Задание 2 (Известные данные)'!$A$2:$D$501,4,FALSE)/1000</f>
        <v>1093.498</v>
      </c>
      <c r="H415" s="43">
        <f>ROUND(E415*VLOOKUP(C415,'Задание 2 (Справочник)'!$B$16:$C$18,2,FALSE),0)</f>
        <v>195</v>
      </c>
      <c r="I415" s="43">
        <f t="shared" si="2"/>
        <v>548.7</v>
      </c>
    </row>
    <row r="416" ht="13.5" customHeight="1">
      <c r="A416" s="1" t="s">
        <v>522</v>
      </c>
      <c r="B416" s="1" t="s">
        <v>78</v>
      </c>
      <c r="C416" s="41" t="str">
        <f t="shared" si="1"/>
        <v>Маленький</v>
      </c>
      <c r="D416" s="42">
        <f>VLOOKUP(A416,'Задание 2 (Известные данные)'!$A$2:$D$501,2,FALSE)</f>
        <v>98765</v>
      </c>
      <c r="E416" s="43">
        <f>ROUND(D416*VLOOKUP(B416,'Задание 2 (Справочник)'!$B$8:$D$12,2,FALSE)/(1-VLOOKUP(B416,'Задание 2 (Справочник)'!$B$8:$D$12,3,FALSE)),0)</f>
        <v>82304</v>
      </c>
      <c r="F416" s="43">
        <f>VLOOKUP(A416,'Задание 2 (Известные данные)'!$A$2:$D$501,3,FALSE)</f>
        <v>62222</v>
      </c>
      <c r="G416" s="37">
        <f>F416*VLOOKUP(A416,'Задание 2 (Известные данные)'!$A$2:$D$501,4,FALSE)/1000</f>
        <v>6844.42</v>
      </c>
      <c r="H416" s="43">
        <f>ROUND(E416*VLOOKUP(C416,'Задание 2 (Справочник)'!$B$16:$C$18,2,FALSE),0)</f>
        <v>823</v>
      </c>
      <c r="I416" s="43">
        <f t="shared" si="2"/>
        <v>3430.44</v>
      </c>
    </row>
    <row r="417" ht="13.5" customHeight="1">
      <c r="A417" s="1" t="s">
        <v>523</v>
      </c>
      <c r="B417" s="1" t="s">
        <v>78</v>
      </c>
      <c r="C417" s="41" t="str">
        <f t="shared" si="1"/>
        <v>Маленький</v>
      </c>
      <c r="D417" s="42">
        <f>VLOOKUP(A417,'Задание 2 (Известные данные)'!$A$2:$D$501,2,FALSE)</f>
        <v>34567</v>
      </c>
      <c r="E417" s="43">
        <f>ROUND(D417*VLOOKUP(B417,'Задание 2 (Справочник)'!$B$8:$D$12,2,FALSE)/(1-VLOOKUP(B417,'Задание 2 (Справочник)'!$B$8:$D$12,3,FALSE)),0)</f>
        <v>28806</v>
      </c>
      <c r="F417" s="43">
        <f>VLOOKUP(A417,'Задание 2 (Известные данные)'!$A$2:$D$501,3,FALSE)</f>
        <v>21777</v>
      </c>
      <c r="G417" s="37">
        <f>F417*VLOOKUP(A417,'Задание 2 (Известные данные)'!$A$2:$D$501,4,FALSE)/1000</f>
        <v>1872.822</v>
      </c>
      <c r="H417" s="43">
        <f>ROUND(E417*VLOOKUP(C417,'Задание 2 (Справочник)'!$B$16:$C$18,2,FALSE),0)</f>
        <v>288</v>
      </c>
      <c r="I417" s="43">
        <f t="shared" si="2"/>
        <v>939.29</v>
      </c>
    </row>
    <row r="418" ht="13.5" customHeight="1">
      <c r="A418" s="1" t="s">
        <v>524</v>
      </c>
      <c r="B418" s="1" t="s">
        <v>78</v>
      </c>
      <c r="C418" s="41" t="str">
        <f t="shared" si="1"/>
        <v>Маленький</v>
      </c>
      <c r="D418" s="42">
        <f>VLOOKUP(A418,'Задание 2 (Известные данные)'!$A$2:$D$501,2,FALSE)</f>
        <v>65432</v>
      </c>
      <c r="E418" s="43">
        <f>ROUND(D418*VLOOKUP(B418,'Задание 2 (Справочник)'!$B$8:$D$12,2,FALSE)/(1-VLOOKUP(B418,'Задание 2 (Справочник)'!$B$8:$D$12,3,FALSE)),0)</f>
        <v>54527</v>
      </c>
      <c r="F418" s="43">
        <f>VLOOKUP(A418,'Задание 2 (Известные данные)'!$A$2:$D$501,3,FALSE)</f>
        <v>41222</v>
      </c>
      <c r="G418" s="37">
        <f>F418*VLOOKUP(A418,'Задание 2 (Известные данные)'!$A$2:$D$501,4,FALSE)/1000</f>
        <v>3957.312</v>
      </c>
      <c r="H418" s="43">
        <f>ROUND(E418*VLOOKUP(C418,'Задание 2 (Справочник)'!$B$16:$C$18,2,FALSE),0)</f>
        <v>545</v>
      </c>
      <c r="I418" s="43">
        <f t="shared" si="2"/>
        <v>1984.11</v>
      </c>
    </row>
    <row r="419" ht="13.5" customHeight="1">
      <c r="A419" s="1" t="s">
        <v>525</v>
      </c>
      <c r="B419" s="1" t="s">
        <v>78</v>
      </c>
      <c r="C419" s="41" t="str">
        <f t="shared" si="1"/>
        <v>Маленький</v>
      </c>
      <c r="D419" s="42">
        <f>VLOOKUP(A419,'Задание 2 (Известные данные)'!$A$2:$D$501,2,FALSE)</f>
        <v>12345</v>
      </c>
      <c r="E419" s="43">
        <f>ROUND(D419*VLOOKUP(B419,'Задание 2 (Справочник)'!$B$8:$D$12,2,FALSE)/(1-VLOOKUP(B419,'Задание 2 (Справочник)'!$B$8:$D$12,3,FALSE)),0)</f>
        <v>10288</v>
      </c>
      <c r="F419" s="43">
        <f>VLOOKUP(A419,'Задание 2 (Известные данные)'!$A$2:$D$501,3,FALSE)</f>
        <v>7778</v>
      </c>
      <c r="G419" s="37">
        <f>F419*VLOOKUP(A419,'Задание 2 (Известные данные)'!$A$2:$D$501,4,FALSE)/1000</f>
        <v>528.904</v>
      </c>
      <c r="H419" s="43">
        <f>ROUND(E419*VLOOKUP(C419,'Задание 2 (Справочник)'!$B$16:$C$18,2,FALSE),0)</f>
        <v>103</v>
      </c>
      <c r="I419" s="43">
        <f t="shared" si="2"/>
        <v>265.48</v>
      </c>
    </row>
    <row r="420" ht="13.5" customHeight="1">
      <c r="A420" s="1" t="s">
        <v>526</v>
      </c>
      <c r="B420" s="1" t="s">
        <v>78</v>
      </c>
      <c r="C420" s="41" t="str">
        <f t="shared" si="1"/>
        <v>Маленький</v>
      </c>
      <c r="D420" s="42">
        <f>VLOOKUP(A420,'Задание 2 (Известные данные)'!$A$2:$D$501,2,FALSE)</f>
        <v>76543</v>
      </c>
      <c r="E420" s="43">
        <f>ROUND(D420*VLOOKUP(B420,'Задание 2 (Справочник)'!$B$8:$D$12,2,FALSE)/(1-VLOOKUP(B420,'Задание 2 (Справочник)'!$B$8:$D$12,3,FALSE)),0)</f>
        <v>63786</v>
      </c>
      <c r="F420" s="43">
        <f>VLOOKUP(A420,'Задание 2 (Известные данные)'!$A$2:$D$501,3,FALSE)</f>
        <v>48222</v>
      </c>
      <c r="G420" s="37">
        <f>F420*VLOOKUP(A420,'Задание 2 (Известные данные)'!$A$2:$D$501,4,FALSE)/1000</f>
        <v>4918.644</v>
      </c>
      <c r="H420" s="43">
        <f>ROUND(E420*VLOOKUP(C420,'Задание 2 (Справочник)'!$B$16:$C$18,2,FALSE),0)</f>
        <v>638</v>
      </c>
      <c r="I420" s="43">
        <f t="shared" si="2"/>
        <v>2465.7</v>
      </c>
    </row>
    <row r="421" ht="13.5" customHeight="1">
      <c r="A421" s="1" t="s">
        <v>527</v>
      </c>
      <c r="B421" s="1" t="s">
        <v>78</v>
      </c>
      <c r="C421" s="41" t="str">
        <f t="shared" si="1"/>
        <v>Маленький</v>
      </c>
      <c r="D421" s="42">
        <f>VLOOKUP(A421,'Задание 2 (Известные данные)'!$A$2:$D$501,2,FALSE)</f>
        <v>43210</v>
      </c>
      <c r="E421" s="43">
        <f>ROUND(D421*VLOOKUP(B421,'Задание 2 (Справочник)'!$B$8:$D$12,2,FALSE)/(1-VLOOKUP(B421,'Задание 2 (Справочник)'!$B$8:$D$12,3,FALSE)),0)</f>
        <v>36008</v>
      </c>
      <c r="F421" s="43">
        <f>VLOOKUP(A421,'Задание 2 (Известные данные)'!$A$2:$D$501,3,FALSE)</f>
        <v>27222</v>
      </c>
      <c r="G421" s="37">
        <f>F421*VLOOKUP(A421,'Задание 2 (Известные данные)'!$A$2:$D$501,4,FALSE)/1000</f>
        <v>2259.426</v>
      </c>
      <c r="H421" s="43">
        <f>ROUND(E421*VLOOKUP(C421,'Задание 2 (Справочник)'!$B$16:$C$18,2,FALSE),0)</f>
        <v>360</v>
      </c>
      <c r="I421" s="43">
        <f t="shared" si="2"/>
        <v>1133.31</v>
      </c>
    </row>
    <row r="422" ht="13.5" customHeight="1">
      <c r="A422" s="1" t="s">
        <v>528</v>
      </c>
      <c r="B422" s="1" t="s">
        <v>78</v>
      </c>
      <c r="C422" s="41" t="str">
        <f t="shared" si="1"/>
        <v>Маленький</v>
      </c>
      <c r="D422" s="42">
        <f>VLOOKUP(A422,'Задание 2 (Известные данные)'!$A$2:$D$501,2,FALSE)</f>
        <v>56789</v>
      </c>
      <c r="E422" s="43">
        <f>ROUND(D422*VLOOKUP(B422,'Задание 2 (Справочник)'!$B$8:$D$12,2,FALSE)/(1-VLOOKUP(B422,'Задание 2 (Справочник)'!$B$8:$D$12,3,FALSE)),0)</f>
        <v>47324</v>
      </c>
      <c r="F422" s="43">
        <f>VLOOKUP(A422,'Задание 2 (Известные данные)'!$A$2:$D$501,3,FALSE)</f>
        <v>35777</v>
      </c>
      <c r="G422" s="37">
        <f>F422*VLOOKUP(A422,'Задание 2 (Известные данные)'!$A$2:$D$501,4,FALSE)/1000</f>
        <v>3255.707</v>
      </c>
      <c r="H422" s="43">
        <f>ROUND(E422*VLOOKUP(C422,'Задание 2 (Справочник)'!$B$16:$C$18,2,FALSE),0)</f>
        <v>473</v>
      </c>
      <c r="I422" s="43">
        <f t="shared" si="2"/>
        <v>1632.58</v>
      </c>
    </row>
    <row r="423" ht="13.5" customHeight="1">
      <c r="A423" s="1" t="s">
        <v>529</v>
      </c>
      <c r="B423" s="1" t="s">
        <v>78</v>
      </c>
      <c r="C423" s="41" t="str">
        <f t="shared" si="1"/>
        <v>Маленький</v>
      </c>
      <c r="D423" s="42">
        <f>VLOOKUP(A423,'Задание 2 (Известные данные)'!$A$2:$D$501,2,FALSE)</f>
        <v>87654</v>
      </c>
      <c r="E423" s="43">
        <f>ROUND(D423*VLOOKUP(B423,'Задание 2 (Справочник)'!$B$8:$D$12,2,FALSE)/(1-VLOOKUP(B423,'Задание 2 (Справочник)'!$B$8:$D$12,3,FALSE)),0)</f>
        <v>73045</v>
      </c>
      <c r="F423" s="43">
        <f>VLOOKUP(A423,'Задание 2 (Известные данные)'!$A$2:$D$501,3,FALSE)</f>
        <v>55222</v>
      </c>
      <c r="G423" s="37">
        <f>F423*VLOOKUP(A423,'Задание 2 (Известные данные)'!$A$2:$D$501,4,FALSE)/1000</f>
        <v>5853.532</v>
      </c>
      <c r="H423" s="43">
        <f>ROUND(E423*VLOOKUP(C423,'Задание 2 (Справочник)'!$B$16:$C$18,2,FALSE),0)</f>
        <v>730</v>
      </c>
      <c r="I423" s="43">
        <f t="shared" si="2"/>
        <v>2934.07</v>
      </c>
    </row>
    <row r="424" ht="13.5" customHeight="1">
      <c r="A424" s="1" t="s">
        <v>530</v>
      </c>
      <c r="B424" s="1" t="s">
        <v>78</v>
      </c>
      <c r="C424" s="41" t="str">
        <f t="shared" si="1"/>
        <v>Маленький</v>
      </c>
      <c r="D424" s="42">
        <f>VLOOKUP(A424,'Задание 2 (Известные данные)'!$A$2:$D$501,2,FALSE)</f>
        <v>23456</v>
      </c>
      <c r="E424" s="43">
        <f>ROUND(D424*VLOOKUP(B424,'Задание 2 (Справочник)'!$B$8:$D$12,2,FALSE)/(1-VLOOKUP(B424,'Задание 2 (Справочник)'!$B$8:$D$12,3,FALSE)),0)</f>
        <v>19547</v>
      </c>
      <c r="F424" s="43">
        <f>VLOOKUP(A424,'Задание 2 (Известные данные)'!$A$2:$D$501,3,FALSE)</f>
        <v>14777</v>
      </c>
      <c r="G424" s="37">
        <f>F424*VLOOKUP(A424,'Задание 2 (Известные данные)'!$A$2:$D$501,4,FALSE)/1000</f>
        <v>1078.721</v>
      </c>
      <c r="H424" s="43">
        <f>ROUND(E424*VLOOKUP(C424,'Задание 2 (Справочник)'!$B$16:$C$18,2,FALSE),0)</f>
        <v>195</v>
      </c>
      <c r="I424" s="43">
        <f t="shared" si="2"/>
        <v>541.31</v>
      </c>
    </row>
    <row r="425" ht="13.5" customHeight="1">
      <c r="A425" s="1" t="s">
        <v>531</v>
      </c>
      <c r="B425" s="1" t="s">
        <v>78</v>
      </c>
      <c r="C425" s="41" t="str">
        <f t="shared" si="1"/>
        <v>Маленький</v>
      </c>
      <c r="D425" s="42">
        <f>VLOOKUP(A425,'Задание 2 (Известные данные)'!$A$2:$D$501,2,FALSE)</f>
        <v>98765</v>
      </c>
      <c r="E425" s="43">
        <f>ROUND(D425*VLOOKUP(B425,'Задание 2 (Справочник)'!$B$8:$D$12,2,FALSE)/(1-VLOOKUP(B425,'Задание 2 (Справочник)'!$B$8:$D$12,3,FALSE)),0)</f>
        <v>82304</v>
      </c>
      <c r="F425" s="43">
        <f>VLOOKUP(A425,'Задание 2 (Известные данные)'!$A$2:$D$501,3,FALSE)</f>
        <v>62222</v>
      </c>
      <c r="G425" s="37">
        <f>F425*VLOOKUP(A425,'Задание 2 (Известные данные)'!$A$2:$D$501,4,FALSE)/1000</f>
        <v>6906.642</v>
      </c>
      <c r="H425" s="43">
        <f>ROUND(E425*VLOOKUP(C425,'Задание 2 (Справочник)'!$B$16:$C$18,2,FALSE),0)</f>
        <v>823</v>
      </c>
      <c r="I425" s="43">
        <f t="shared" si="2"/>
        <v>3461.55</v>
      </c>
    </row>
    <row r="426" ht="13.5" customHeight="1">
      <c r="A426" s="1" t="s">
        <v>532</v>
      </c>
      <c r="B426" s="1" t="s">
        <v>78</v>
      </c>
      <c r="C426" s="41" t="str">
        <f t="shared" si="1"/>
        <v>Маленький</v>
      </c>
      <c r="D426" s="42">
        <f>VLOOKUP(A426,'Задание 2 (Известные данные)'!$A$2:$D$501,2,FALSE)</f>
        <v>34567</v>
      </c>
      <c r="E426" s="43">
        <f>ROUND(D426*VLOOKUP(B426,'Задание 2 (Справочник)'!$B$8:$D$12,2,FALSE)/(1-VLOOKUP(B426,'Задание 2 (Справочник)'!$B$8:$D$12,3,FALSE)),0)</f>
        <v>28806</v>
      </c>
      <c r="F426" s="43">
        <f>VLOOKUP(A426,'Задание 2 (Известные данные)'!$A$2:$D$501,3,FALSE)</f>
        <v>21777</v>
      </c>
      <c r="G426" s="37">
        <f>F426*VLOOKUP(A426,'Задание 2 (Известные данные)'!$A$2:$D$501,4,FALSE)/1000</f>
        <v>1894.599</v>
      </c>
      <c r="H426" s="43">
        <f>ROUND(E426*VLOOKUP(C426,'Задание 2 (Справочник)'!$B$16:$C$18,2,FALSE),0)</f>
        <v>288</v>
      </c>
      <c r="I426" s="43">
        <f t="shared" si="2"/>
        <v>950.18</v>
      </c>
    </row>
    <row r="427" ht="13.5" customHeight="1">
      <c r="A427" s="1" t="s">
        <v>533</v>
      </c>
      <c r="B427" s="1" t="s">
        <v>78</v>
      </c>
      <c r="C427" s="41" t="str">
        <f t="shared" si="1"/>
        <v>Маленький</v>
      </c>
      <c r="D427" s="42">
        <f>VLOOKUP(A427,'Задание 2 (Известные данные)'!$A$2:$D$501,2,FALSE)</f>
        <v>65432</v>
      </c>
      <c r="E427" s="43">
        <f>ROUND(D427*VLOOKUP(B427,'Задание 2 (Справочник)'!$B$8:$D$12,2,FALSE)/(1-VLOOKUP(B427,'Задание 2 (Справочник)'!$B$8:$D$12,3,FALSE)),0)</f>
        <v>54527</v>
      </c>
      <c r="F427" s="43">
        <f>VLOOKUP(A427,'Задание 2 (Известные данные)'!$A$2:$D$501,3,FALSE)</f>
        <v>41222</v>
      </c>
      <c r="G427" s="37">
        <f>F427*VLOOKUP(A427,'Задание 2 (Известные данные)'!$A$2:$D$501,4,FALSE)/1000</f>
        <v>3998.534</v>
      </c>
      <c r="H427" s="43">
        <f>ROUND(E427*VLOOKUP(C427,'Задание 2 (Справочник)'!$B$16:$C$18,2,FALSE),0)</f>
        <v>545</v>
      </c>
      <c r="I427" s="43">
        <f t="shared" si="2"/>
        <v>2004.72</v>
      </c>
    </row>
    <row r="428" ht="13.5" customHeight="1">
      <c r="A428" s="1" t="s">
        <v>534</v>
      </c>
      <c r="B428" s="1" t="s">
        <v>78</v>
      </c>
      <c r="C428" s="41" t="str">
        <f t="shared" si="1"/>
        <v>Маленький</v>
      </c>
      <c r="D428" s="42">
        <f>VLOOKUP(A428,'Задание 2 (Известные данные)'!$A$2:$D$501,2,FALSE)</f>
        <v>12345</v>
      </c>
      <c r="E428" s="43">
        <f>ROUND(D428*VLOOKUP(B428,'Задание 2 (Справочник)'!$B$8:$D$12,2,FALSE)/(1-VLOOKUP(B428,'Задание 2 (Справочник)'!$B$8:$D$12,3,FALSE)),0)</f>
        <v>10288</v>
      </c>
      <c r="F428" s="43">
        <f>VLOOKUP(A428,'Задание 2 (Известные данные)'!$A$2:$D$501,3,FALSE)</f>
        <v>7778</v>
      </c>
      <c r="G428" s="37">
        <f>F428*VLOOKUP(A428,'Задание 2 (Известные данные)'!$A$2:$D$501,4,FALSE)/1000</f>
        <v>521.126</v>
      </c>
      <c r="H428" s="43">
        <f>ROUND(E428*VLOOKUP(C428,'Задание 2 (Справочник)'!$B$16:$C$18,2,FALSE),0)</f>
        <v>103</v>
      </c>
      <c r="I428" s="43">
        <f t="shared" si="2"/>
        <v>261.59</v>
      </c>
    </row>
    <row r="429" ht="13.5" customHeight="1">
      <c r="A429" s="1" t="s">
        <v>535</v>
      </c>
      <c r="B429" s="1" t="s">
        <v>78</v>
      </c>
      <c r="C429" s="41" t="str">
        <f t="shared" si="1"/>
        <v>Маленький</v>
      </c>
      <c r="D429" s="42">
        <f>VLOOKUP(A429,'Задание 2 (Известные данные)'!$A$2:$D$501,2,FALSE)</f>
        <v>76543</v>
      </c>
      <c r="E429" s="43">
        <f>ROUND(D429*VLOOKUP(B429,'Задание 2 (Справочник)'!$B$8:$D$12,2,FALSE)/(1-VLOOKUP(B429,'Задание 2 (Справочник)'!$B$8:$D$12,3,FALSE)),0)</f>
        <v>63786</v>
      </c>
      <c r="F429" s="43">
        <f>VLOOKUP(A429,'Задание 2 (Известные данные)'!$A$2:$D$501,3,FALSE)</f>
        <v>48222</v>
      </c>
      <c r="G429" s="37">
        <f>F429*VLOOKUP(A429,'Задание 2 (Известные данные)'!$A$2:$D$501,4,FALSE)/1000</f>
        <v>4966.866</v>
      </c>
      <c r="H429" s="43">
        <f>ROUND(E429*VLOOKUP(C429,'Задание 2 (Справочник)'!$B$16:$C$18,2,FALSE),0)</f>
        <v>638</v>
      </c>
      <c r="I429" s="43">
        <f t="shared" si="2"/>
        <v>2489.81</v>
      </c>
    </row>
    <row r="430" ht="13.5" customHeight="1">
      <c r="A430" s="1" t="s">
        <v>536</v>
      </c>
      <c r="B430" s="1" t="s">
        <v>78</v>
      </c>
      <c r="C430" s="41" t="str">
        <f t="shared" si="1"/>
        <v>Маленький</v>
      </c>
      <c r="D430" s="42">
        <f>VLOOKUP(A430,'Задание 2 (Известные данные)'!$A$2:$D$501,2,FALSE)</f>
        <v>43210</v>
      </c>
      <c r="E430" s="43">
        <f>ROUND(D430*VLOOKUP(B430,'Задание 2 (Справочник)'!$B$8:$D$12,2,FALSE)/(1-VLOOKUP(B430,'Задание 2 (Справочник)'!$B$8:$D$12,3,FALSE)),0)</f>
        <v>36008</v>
      </c>
      <c r="F430" s="43">
        <f>VLOOKUP(A430,'Задание 2 (Известные данные)'!$A$2:$D$501,3,FALSE)</f>
        <v>27222</v>
      </c>
      <c r="G430" s="37">
        <f>F430*VLOOKUP(A430,'Задание 2 (Известные данные)'!$A$2:$D$501,4,FALSE)/1000</f>
        <v>2286.648</v>
      </c>
      <c r="H430" s="43">
        <f>ROUND(E430*VLOOKUP(C430,'Задание 2 (Справочник)'!$B$16:$C$18,2,FALSE),0)</f>
        <v>360</v>
      </c>
      <c r="I430" s="43">
        <f t="shared" si="2"/>
        <v>1146.92</v>
      </c>
    </row>
    <row r="431" ht="13.5" customHeight="1">
      <c r="A431" s="1" t="s">
        <v>537</v>
      </c>
      <c r="B431" s="1" t="s">
        <v>78</v>
      </c>
      <c r="C431" s="41" t="str">
        <f t="shared" si="1"/>
        <v>Маленький</v>
      </c>
      <c r="D431" s="42">
        <f>VLOOKUP(A431,'Задание 2 (Известные данные)'!$A$2:$D$501,2,FALSE)</f>
        <v>56789</v>
      </c>
      <c r="E431" s="43">
        <f>ROUND(D431*VLOOKUP(B431,'Задание 2 (Справочник)'!$B$8:$D$12,2,FALSE)/(1-VLOOKUP(B431,'Задание 2 (Справочник)'!$B$8:$D$12,3,FALSE)),0)</f>
        <v>47324</v>
      </c>
      <c r="F431" s="43">
        <f>VLOOKUP(A431,'Задание 2 (Известные данные)'!$A$2:$D$501,3,FALSE)</f>
        <v>35777</v>
      </c>
      <c r="G431" s="37">
        <f>F431*VLOOKUP(A431,'Задание 2 (Известные данные)'!$A$2:$D$501,4,FALSE)/1000</f>
        <v>3219.93</v>
      </c>
      <c r="H431" s="43">
        <f>ROUND(E431*VLOOKUP(C431,'Задание 2 (Справочник)'!$B$16:$C$18,2,FALSE),0)</f>
        <v>473</v>
      </c>
      <c r="I431" s="43">
        <f t="shared" si="2"/>
        <v>1614.7</v>
      </c>
    </row>
    <row r="432" ht="13.5" customHeight="1">
      <c r="A432" s="1" t="s">
        <v>538</v>
      </c>
      <c r="B432" s="1" t="s">
        <v>78</v>
      </c>
      <c r="C432" s="41" t="str">
        <f t="shared" si="1"/>
        <v>Маленький</v>
      </c>
      <c r="D432" s="42">
        <f>VLOOKUP(A432,'Задание 2 (Известные данные)'!$A$2:$D$501,2,FALSE)</f>
        <v>87654</v>
      </c>
      <c r="E432" s="43">
        <f>ROUND(D432*VLOOKUP(B432,'Задание 2 (Справочник)'!$B$8:$D$12,2,FALSE)/(1-VLOOKUP(B432,'Задание 2 (Справочник)'!$B$8:$D$12,3,FALSE)),0)</f>
        <v>73045</v>
      </c>
      <c r="F432" s="43">
        <f>VLOOKUP(A432,'Задание 2 (Известные данные)'!$A$2:$D$501,3,FALSE)</f>
        <v>55222</v>
      </c>
      <c r="G432" s="37">
        <f>F432*VLOOKUP(A432,'Задание 2 (Известные данные)'!$A$2:$D$501,4,FALSE)/1000</f>
        <v>5908.754</v>
      </c>
      <c r="H432" s="43">
        <f>ROUND(E432*VLOOKUP(C432,'Задание 2 (Справочник)'!$B$16:$C$18,2,FALSE),0)</f>
        <v>730</v>
      </c>
      <c r="I432" s="43">
        <f t="shared" si="2"/>
        <v>2961.68</v>
      </c>
    </row>
    <row r="433" ht="13.5" customHeight="1">
      <c r="A433" s="1" t="s">
        <v>539</v>
      </c>
      <c r="B433" s="1" t="s">
        <v>78</v>
      </c>
      <c r="C433" s="41" t="str">
        <f t="shared" si="1"/>
        <v>Маленький</v>
      </c>
      <c r="D433" s="42">
        <f>VLOOKUP(A433,'Задание 2 (Известные данные)'!$A$2:$D$501,2,FALSE)</f>
        <v>23456</v>
      </c>
      <c r="E433" s="43">
        <f>ROUND(D433*VLOOKUP(B433,'Задание 2 (Справочник)'!$B$8:$D$12,2,FALSE)/(1-VLOOKUP(B433,'Задание 2 (Справочник)'!$B$8:$D$12,3,FALSE)),0)</f>
        <v>19547</v>
      </c>
      <c r="F433" s="43">
        <f>VLOOKUP(A433,'Задание 2 (Известные данные)'!$A$2:$D$501,3,FALSE)</f>
        <v>14777</v>
      </c>
      <c r="G433" s="37">
        <f>F433*VLOOKUP(A433,'Задание 2 (Известные данные)'!$A$2:$D$501,4,FALSE)/1000</f>
        <v>1063.944</v>
      </c>
      <c r="H433" s="43">
        <f>ROUND(E433*VLOOKUP(C433,'Задание 2 (Справочник)'!$B$16:$C$18,2,FALSE),0)</f>
        <v>195</v>
      </c>
      <c r="I433" s="43">
        <f t="shared" si="2"/>
        <v>533.92</v>
      </c>
    </row>
    <row r="434" ht="13.5" customHeight="1">
      <c r="A434" s="1" t="s">
        <v>540</v>
      </c>
      <c r="B434" s="1" t="s">
        <v>78</v>
      </c>
      <c r="C434" s="41" t="str">
        <f t="shared" si="1"/>
        <v>Маленький</v>
      </c>
      <c r="D434" s="42">
        <f>VLOOKUP(A434,'Задание 2 (Известные данные)'!$A$2:$D$501,2,FALSE)</f>
        <v>98765</v>
      </c>
      <c r="E434" s="43">
        <f>ROUND(D434*VLOOKUP(B434,'Задание 2 (Справочник)'!$B$8:$D$12,2,FALSE)/(1-VLOOKUP(B434,'Задание 2 (Справочник)'!$B$8:$D$12,3,FALSE)),0)</f>
        <v>82304</v>
      </c>
      <c r="F434" s="43">
        <f>VLOOKUP(A434,'Задание 2 (Известные данные)'!$A$2:$D$501,3,FALSE)</f>
        <v>62222</v>
      </c>
      <c r="G434" s="37">
        <f>F434*VLOOKUP(A434,'Задание 2 (Известные данные)'!$A$2:$D$501,4,FALSE)/1000</f>
        <v>6968.864</v>
      </c>
      <c r="H434" s="43">
        <f>ROUND(E434*VLOOKUP(C434,'Задание 2 (Справочник)'!$B$16:$C$18,2,FALSE),0)</f>
        <v>823</v>
      </c>
      <c r="I434" s="43">
        <f t="shared" si="2"/>
        <v>3492.66</v>
      </c>
    </row>
    <row r="435" ht="13.5" customHeight="1">
      <c r="A435" s="1" t="s">
        <v>541</v>
      </c>
      <c r="B435" s="1" t="s">
        <v>78</v>
      </c>
      <c r="C435" s="41" t="str">
        <f t="shared" si="1"/>
        <v>Маленький</v>
      </c>
      <c r="D435" s="42">
        <f>VLOOKUP(A435,'Задание 2 (Известные данные)'!$A$2:$D$501,2,FALSE)</f>
        <v>34567</v>
      </c>
      <c r="E435" s="43">
        <f>ROUND(D435*VLOOKUP(B435,'Задание 2 (Справочник)'!$B$8:$D$12,2,FALSE)/(1-VLOOKUP(B435,'Задание 2 (Справочник)'!$B$8:$D$12,3,FALSE)),0)</f>
        <v>28806</v>
      </c>
      <c r="F435" s="43">
        <f>VLOOKUP(A435,'Задание 2 (Известные данные)'!$A$2:$D$501,3,FALSE)</f>
        <v>21777</v>
      </c>
      <c r="G435" s="37">
        <f>F435*VLOOKUP(A435,'Задание 2 (Известные данные)'!$A$2:$D$501,4,FALSE)/1000</f>
        <v>1916.376</v>
      </c>
      <c r="H435" s="43">
        <f>ROUND(E435*VLOOKUP(C435,'Задание 2 (Справочник)'!$B$16:$C$18,2,FALSE),0)</f>
        <v>288</v>
      </c>
      <c r="I435" s="43">
        <f t="shared" si="2"/>
        <v>961.07</v>
      </c>
    </row>
    <row r="436" ht="13.5" customHeight="1">
      <c r="A436" s="1" t="s">
        <v>542</v>
      </c>
      <c r="B436" s="1" t="s">
        <v>78</v>
      </c>
      <c r="C436" s="41" t="str">
        <f t="shared" si="1"/>
        <v>Маленький</v>
      </c>
      <c r="D436" s="42">
        <f>VLOOKUP(A436,'Задание 2 (Известные данные)'!$A$2:$D$501,2,FALSE)</f>
        <v>65432</v>
      </c>
      <c r="E436" s="43">
        <f>ROUND(D436*VLOOKUP(B436,'Задание 2 (Справочник)'!$B$8:$D$12,2,FALSE)/(1-VLOOKUP(B436,'Задание 2 (Справочник)'!$B$8:$D$12,3,FALSE)),0)</f>
        <v>54527</v>
      </c>
      <c r="F436" s="43">
        <f>VLOOKUP(A436,'Задание 2 (Известные данные)'!$A$2:$D$501,3,FALSE)</f>
        <v>41222</v>
      </c>
      <c r="G436" s="37">
        <f>F436*VLOOKUP(A436,'Задание 2 (Известные данные)'!$A$2:$D$501,4,FALSE)/1000</f>
        <v>4039.756</v>
      </c>
      <c r="H436" s="43">
        <f>ROUND(E436*VLOOKUP(C436,'Задание 2 (Справочник)'!$B$16:$C$18,2,FALSE),0)</f>
        <v>545</v>
      </c>
      <c r="I436" s="43">
        <f t="shared" si="2"/>
        <v>2025.33</v>
      </c>
    </row>
    <row r="437" ht="13.5" customHeight="1">
      <c r="A437" s="1" t="s">
        <v>543</v>
      </c>
      <c r="B437" s="1" t="s">
        <v>78</v>
      </c>
      <c r="C437" s="41" t="str">
        <f t="shared" si="1"/>
        <v>Маленький</v>
      </c>
      <c r="D437" s="42">
        <f>VLOOKUP(A437,'Задание 2 (Известные данные)'!$A$2:$D$501,2,FALSE)</f>
        <v>12345</v>
      </c>
      <c r="E437" s="43">
        <f>ROUND(D437*VLOOKUP(B437,'Задание 2 (Справочник)'!$B$8:$D$12,2,FALSE)/(1-VLOOKUP(B437,'Задание 2 (Справочник)'!$B$8:$D$12,3,FALSE)),0)</f>
        <v>10288</v>
      </c>
      <c r="F437" s="43">
        <f>VLOOKUP(A437,'Задание 2 (Известные данные)'!$A$2:$D$501,3,FALSE)</f>
        <v>7778</v>
      </c>
      <c r="G437" s="37">
        <f>F437*VLOOKUP(A437,'Задание 2 (Известные данные)'!$A$2:$D$501,4,FALSE)/1000</f>
        <v>513.348</v>
      </c>
      <c r="H437" s="43">
        <f>ROUND(E437*VLOOKUP(C437,'Задание 2 (Справочник)'!$B$16:$C$18,2,FALSE),0)</f>
        <v>103</v>
      </c>
      <c r="I437" s="43">
        <f t="shared" si="2"/>
        <v>257.7</v>
      </c>
    </row>
    <row r="438" ht="13.5" customHeight="1">
      <c r="A438" s="1" t="s">
        <v>544</v>
      </c>
      <c r="B438" s="1" t="s">
        <v>78</v>
      </c>
      <c r="C438" s="41" t="str">
        <f t="shared" si="1"/>
        <v>Маленький</v>
      </c>
      <c r="D438" s="42">
        <f>VLOOKUP(A438,'Задание 2 (Известные данные)'!$A$2:$D$501,2,FALSE)</f>
        <v>76543</v>
      </c>
      <c r="E438" s="43">
        <f>ROUND(D438*VLOOKUP(B438,'Задание 2 (Справочник)'!$B$8:$D$12,2,FALSE)/(1-VLOOKUP(B438,'Задание 2 (Справочник)'!$B$8:$D$12,3,FALSE)),0)</f>
        <v>63786</v>
      </c>
      <c r="F438" s="43">
        <f>VLOOKUP(A438,'Задание 2 (Известные данные)'!$A$2:$D$501,3,FALSE)</f>
        <v>48222</v>
      </c>
      <c r="G438" s="37">
        <f>F438*VLOOKUP(A438,'Задание 2 (Известные данные)'!$A$2:$D$501,4,FALSE)/1000</f>
        <v>5015.088</v>
      </c>
      <c r="H438" s="43">
        <f>ROUND(E438*VLOOKUP(C438,'Задание 2 (Справочник)'!$B$16:$C$18,2,FALSE),0)</f>
        <v>638</v>
      </c>
      <c r="I438" s="43">
        <f t="shared" si="2"/>
        <v>2513.92</v>
      </c>
    </row>
    <row r="439" ht="13.5" customHeight="1">
      <c r="A439" s="1" t="s">
        <v>545</v>
      </c>
      <c r="B439" s="1" t="s">
        <v>78</v>
      </c>
      <c r="C439" s="41" t="str">
        <f t="shared" si="1"/>
        <v>Маленький</v>
      </c>
      <c r="D439" s="42">
        <f>VLOOKUP(A439,'Задание 2 (Известные данные)'!$A$2:$D$501,2,FALSE)</f>
        <v>43210</v>
      </c>
      <c r="E439" s="43">
        <f>ROUND(D439*VLOOKUP(B439,'Задание 2 (Справочник)'!$B$8:$D$12,2,FALSE)/(1-VLOOKUP(B439,'Задание 2 (Справочник)'!$B$8:$D$12,3,FALSE)),0)</f>
        <v>36008</v>
      </c>
      <c r="F439" s="43">
        <f>VLOOKUP(A439,'Задание 2 (Известные данные)'!$A$2:$D$501,3,FALSE)</f>
        <v>27222</v>
      </c>
      <c r="G439" s="37">
        <f>F439*VLOOKUP(A439,'Задание 2 (Известные данные)'!$A$2:$D$501,4,FALSE)/1000</f>
        <v>2313.87</v>
      </c>
      <c r="H439" s="43">
        <f>ROUND(E439*VLOOKUP(C439,'Задание 2 (Справочник)'!$B$16:$C$18,2,FALSE),0)</f>
        <v>360</v>
      </c>
      <c r="I439" s="43">
        <f t="shared" si="2"/>
        <v>1160.54</v>
      </c>
    </row>
    <row r="440" ht="13.5" customHeight="1">
      <c r="A440" s="1" t="s">
        <v>546</v>
      </c>
      <c r="B440" s="1" t="s">
        <v>78</v>
      </c>
      <c r="C440" s="41" t="str">
        <f t="shared" si="1"/>
        <v>Маленький</v>
      </c>
      <c r="D440" s="42">
        <f>VLOOKUP(A440,'Задание 2 (Известные данные)'!$A$2:$D$501,2,FALSE)</f>
        <v>56789</v>
      </c>
      <c r="E440" s="43">
        <f>ROUND(D440*VLOOKUP(B440,'Задание 2 (Справочник)'!$B$8:$D$12,2,FALSE)/(1-VLOOKUP(B440,'Задание 2 (Справочник)'!$B$8:$D$12,3,FALSE)),0)</f>
        <v>47324</v>
      </c>
      <c r="F440" s="43">
        <f>VLOOKUP(A440,'Задание 2 (Известные данные)'!$A$2:$D$501,3,FALSE)</f>
        <v>35777</v>
      </c>
      <c r="G440" s="37">
        <f>F440*VLOOKUP(A440,'Задание 2 (Известные данные)'!$A$2:$D$501,4,FALSE)/1000</f>
        <v>3184.153</v>
      </c>
      <c r="H440" s="43">
        <f>ROUND(E440*VLOOKUP(C440,'Задание 2 (Справочник)'!$B$16:$C$18,2,FALSE),0)</f>
        <v>473</v>
      </c>
      <c r="I440" s="43">
        <f t="shared" si="2"/>
        <v>1596.81</v>
      </c>
    </row>
    <row r="441" ht="13.5" customHeight="1">
      <c r="A441" s="1" t="s">
        <v>547</v>
      </c>
      <c r="B441" s="1" t="s">
        <v>78</v>
      </c>
      <c r="C441" s="41" t="str">
        <f t="shared" si="1"/>
        <v>Маленький</v>
      </c>
      <c r="D441" s="42">
        <f>VLOOKUP(A441,'Задание 2 (Известные данные)'!$A$2:$D$501,2,FALSE)</f>
        <v>87654</v>
      </c>
      <c r="E441" s="43">
        <f>ROUND(D441*VLOOKUP(B441,'Задание 2 (Справочник)'!$B$8:$D$12,2,FALSE)/(1-VLOOKUP(B441,'Задание 2 (Справочник)'!$B$8:$D$12,3,FALSE)),0)</f>
        <v>73045</v>
      </c>
      <c r="F441" s="43">
        <f>VLOOKUP(A441,'Задание 2 (Известные данные)'!$A$2:$D$501,3,FALSE)</f>
        <v>55222</v>
      </c>
      <c r="G441" s="37">
        <f>F441*VLOOKUP(A441,'Задание 2 (Известные данные)'!$A$2:$D$501,4,FALSE)/1000</f>
        <v>5963.976</v>
      </c>
      <c r="H441" s="43">
        <f>ROUND(E441*VLOOKUP(C441,'Задание 2 (Справочник)'!$B$16:$C$18,2,FALSE),0)</f>
        <v>730</v>
      </c>
      <c r="I441" s="43">
        <f t="shared" si="2"/>
        <v>2989.29</v>
      </c>
    </row>
    <row r="442" ht="13.5" customHeight="1">
      <c r="A442" s="1" t="s">
        <v>548</v>
      </c>
      <c r="B442" s="1" t="s">
        <v>78</v>
      </c>
      <c r="C442" s="41" t="str">
        <f t="shared" si="1"/>
        <v>Маленький</v>
      </c>
      <c r="D442" s="42">
        <f>VLOOKUP(A442,'Задание 2 (Известные данные)'!$A$2:$D$501,2,FALSE)</f>
        <v>23456</v>
      </c>
      <c r="E442" s="43">
        <f>ROUND(D442*VLOOKUP(B442,'Задание 2 (Справочник)'!$B$8:$D$12,2,FALSE)/(1-VLOOKUP(B442,'Задание 2 (Справочник)'!$B$8:$D$12,3,FALSE)),0)</f>
        <v>19547</v>
      </c>
      <c r="F442" s="43">
        <f>VLOOKUP(A442,'Задание 2 (Известные данные)'!$A$2:$D$501,3,FALSE)</f>
        <v>14777</v>
      </c>
      <c r="G442" s="37">
        <f>F442*VLOOKUP(A442,'Задание 2 (Известные данные)'!$A$2:$D$501,4,FALSE)/1000</f>
        <v>1049.167</v>
      </c>
      <c r="H442" s="43">
        <f>ROUND(E442*VLOOKUP(C442,'Задание 2 (Справочник)'!$B$16:$C$18,2,FALSE),0)</f>
        <v>195</v>
      </c>
      <c r="I442" s="43">
        <f t="shared" si="2"/>
        <v>526.53</v>
      </c>
    </row>
    <row r="443" ht="13.5" customHeight="1">
      <c r="A443" s="1" t="s">
        <v>549</v>
      </c>
      <c r="B443" s="1" t="s">
        <v>78</v>
      </c>
      <c r="C443" s="41" t="str">
        <f t="shared" si="1"/>
        <v>Маленький</v>
      </c>
      <c r="D443" s="42">
        <f>VLOOKUP(A443,'Задание 2 (Известные данные)'!$A$2:$D$501,2,FALSE)</f>
        <v>98765</v>
      </c>
      <c r="E443" s="43">
        <f>ROUND(D443*VLOOKUP(B443,'Задание 2 (Справочник)'!$B$8:$D$12,2,FALSE)/(1-VLOOKUP(B443,'Задание 2 (Справочник)'!$B$8:$D$12,3,FALSE)),0)</f>
        <v>82304</v>
      </c>
      <c r="F443" s="43">
        <f>VLOOKUP(A443,'Задание 2 (Известные данные)'!$A$2:$D$501,3,FALSE)</f>
        <v>62222</v>
      </c>
      <c r="G443" s="37">
        <f>F443*VLOOKUP(A443,'Задание 2 (Известные данные)'!$A$2:$D$501,4,FALSE)/1000</f>
        <v>7031.086</v>
      </c>
      <c r="H443" s="43">
        <f>ROUND(E443*VLOOKUP(C443,'Задание 2 (Справочник)'!$B$16:$C$18,2,FALSE),0)</f>
        <v>823</v>
      </c>
      <c r="I443" s="43">
        <f t="shared" si="2"/>
        <v>3523.77</v>
      </c>
    </row>
    <row r="444" ht="13.5" customHeight="1">
      <c r="A444" s="1" t="s">
        <v>550</v>
      </c>
      <c r="B444" s="1" t="s">
        <v>78</v>
      </c>
      <c r="C444" s="41" t="str">
        <f t="shared" si="1"/>
        <v>Маленький</v>
      </c>
      <c r="D444" s="42">
        <f>VLOOKUP(A444,'Задание 2 (Известные данные)'!$A$2:$D$501,2,FALSE)</f>
        <v>34567</v>
      </c>
      <c r="E444" s="43">
        <f>ROUND(D444*VLOOKUP(B444,'Задание 2 (Справочник)'!$B$8:$D$12,2,FALSE)/(1-VLOOKUP(B444,'Задание 2 (Справочник)'!$B$8:$D$12,3,FALSE)),0)</f>
        <v>28806</v>
      </c>
      <c r="F444" s="43">
        <f>VLOOKUP(A444,'Задание 2 (Известные данные)'!$A$2:$D$501,3,FALSE)</f>
        <v>21777</v>
      </c>
      <c r="G444" s="37">
        <f>F444*VLOOKUP(A444,'Задание 2 (Известные данные)'!$A$2:$D$501,4,FALSE)/1000</f>
        <v>1938.153</v>
      </c>
      <c r="H444" s="43">
        <f>ROUND(E444*VLOOKUP(C444,'Задание 2 (Справочник)'!$B$16:$C$18,2,FALSE),0)</f>
        <v>288</v>
      </c>
      <c r="I444" s="43">
        <f t="shared" si="2"/>
        <v>971.96</v>
      </c>
    </row>
    <row r="445" ht="13.5" customHeight="1">
      <c r="A445" s="1" t="s">
        <v>551</v>
      </c>
      <c r="B445" s="1" t="s">
        <v>78</v>
      </c>
      <c r="C445" s="41" t="str">
        <f t="shared" si="1"/>
        <v>Маленький</v>
      </c>
      <c r="D445" s="42">
        <f>VLOOKUP(A445,'Задание 2 (Известные данные)'!$A$2:$D$501,2,FALSE)</f>
        <v>65432</v>
      </c>
      <c r="E445" s="43">
        <f>ROUND(D445*VLOOKUP(B445,'Задание 2 (Справочник)'!$B$8:$D$12,2,FALSE)/(1-VLOOKUP(B445,'Задание 2 (Справочник)'!$B$8:$D$12,3,FALSE)),0)</f>
        <v>54527</v>
      </c>
      <c r="F445" s="43">
        <f>VLOOKUP(A445,'Задание 2 (Известные данные)'!$A$2:$D$501,3,FALSE)</f>
        <v>41222</v>
      </c>
      <c r="G445" s="37">
        <f>F445*VLOOKUP(A445,'Задание 2 (Известные данные)'!$A$2:$D$501,4,FALSE)/1000</f>
        <v>4080.978</v>
      </c>
      <c r="H445" s="43">
        <f>ROUND(E445*VLOOKUP(C445,'Задание 2 (Справочник)'!$B$16:$C$18,2,FALSE),0)</f>
        <v>545</v>
      </c>
      <c r="I445" s="43">
        <f t="shared" si="2"/>
        <v>2045.94</v>
      </c>
    </row>
    <row r="446" ht="13.5" customHeight="1">
      <c r="A446" s="1" t="s">
        <v>552</v>
      </c>
      <c r="B446" s="1" t="s">
        <v>78</v>
      </c>
      <c r="C446" s="41" t="str">
        <f t="shared" si="1"/>
        <v>Маленький</v>
      </c>
      <c r="D446" s="42">
        <f>VLOOKUP(A446,'Задание 2 (Известные данные)'!$A$2:$D$501,2,FALSE)</f>
        <v>12345</v>
      </c>
      <c r="E446" s="43">
        <f>ROUND(D446*VLOOKUP(B446,'Задание 2 (Справочник)'!$B$8:$D$12,2,FALSE)/(1-VLOOKUP(B446,'Задание 2 (Справочник)'!$B$8:$D$12,3,FALSE)),0)</f>
        <v>10288</v>
      </c>
      <c r="F446" s="43">
        <f>VLOOKUP(A446,'Задание 2 (Известные данные)'!$A$2:$D$501,3,FALSE)</f>
        <v>7778</v>
      </c>
      <c r="G446" s="37">
        <f>F446*VLOOKUP(A446,'Задание 2 (Известные данные)'!$A$2:$D$501,4,FALSE)/1000</f>
        <v>505.57</v>
      </c>
      <c r="H446" s="43">
        <f>ROUND(E446*VLOOKUP(C446,'Задание 2 (Справочник)'!$B$16:$C$18,2,FALSE),0)</f>
        <v>103</v>
      </c>
      <c r="I446" s="43">
        <f t="shared" si="2"/>
        <v>253.82</v>
      </c>
    </row>
    <row r="447" ht="13.5" customHeight="1">
      <c r="A447" s="1" t="s">
        <v>553</v>
      </c>
      <c r="B447" s="1" t="s">
        <v>78</v>
      </c>
      <c r="C447" s="41" t="str">
        <f t="shared" si="1"/>
        <v>Маленький</v>
      </c>
      <c r="D447" s="42">
        <f>VLOOKUP(A447,'Задание 2 (Известные данные)'!$A$2:$D$501,2,FALSE)</f>
        <v>76543</v>
      </c>
      <c r="E447" s="43">
        <f>ROUND(D447*VLOOKUP(B447,'Задание 2 (Справочник)'!$B$8:$D$12,2,FALSE)/(1-VLOOKUP(B447,'Задание 2 (Справочник)'!$B$8:$D$12,3,FALSE)),0)</f>
        <v>63786</v>
      </c>
      <c r="F447" s="43">
        <f>VLOOKUP(A447,'Задание 2 (Известные данные)'!$A$2:$D$501,3,FALSE)</f>
        <v>48222</v>
      </c>
      <c r="G447" s="37">
        <f>F447*VLOOKUP(A447,'Задание 2 (Известные данные)'!$A$2:$D$501,4,FALSE)/1000</f>
        <v>5063.31</v>
      </c>
      <c r="H447" s="43">
        <f>ROUND(E447*VLOOKUP(C447,'Задание 2 (Справочник)'!$B$16:$C$18,2,FALSE),0)</f>
        <v>638</v>
      </c>
      <c r="I447" s="43">
        <f t="shared" si="2"/>
        <v>2538.04</v>
      </c>
    </row>
    <row r="448" ht="13.5" customHeight="1">
      <c r="A448" s="1" t="s">
        <v>554</v>
      </c>
      <c r="B448" s="1" t="s">
        <v>78</v>
      </c>
      <c r="C448" s="41" t="str">
        <f t="shared" si="1"/>
        <v>Маленький</v>
      </c>
      <c r="D448" s="42">
        <f>VLOOKUP(A448,'Задание 2 (Известные данные)'!$A$2:$D$501,2,FALSE)</f>
        <v>43210</v>
      </c>
      <c r="E448" s="43">
        <f>ROUND(D448*VLOOKUP(B448,'Задание 2 (Справочник)'!$B$8:$D$12,2,FALSE)/(1-VLOOKUP(B448,'Задание 2 (Справочник)'!$B$8:$D$12,3,FALSE)),0)</f>
        <v>36008</v>
      </c>
      <c r="F448" s="43">
        <f>VLOOKUP(A448,'Задание 2 (Известные данные)'!$A$2:$D$501,3,FALSE)</f>
        <v>27222</v>
      </c>
      <c r="G448" s="37">
        <f>F448*VLOOKUP(A448,'Задание 2 (Известные данные)'!$A$2:$D$501,4,FALSE)/1000</f>
        <v>2341.092</v>
      </c>
      <c r="H448" s="43">
        <f>ROUND(E448*VLOOKUP(C448,'Задание 2 (Справочник)'!$B$16:$C$18,2,FALSE),0)</f>
        <v>360</v>
      </c>
      <c r="I448" s="43">
        <f t="shared" si="2"/>
        <v>1174.15</v>
      </c>
    </row>
    <row r="449" ht="13.5" customHeight="1">
      <c r="A449" s="1" t="s">
        <v>555</v>
      </c>
      <c r="B449" s="1" t="s">
        <v>78</v>
      </c>
      <c r="C449" s="41" t="str">
        <f t="shared" si="1"/>
        <v>Маленький</v>
      </c>
      <c r="D449" s="42">
        <f>VLOOKUP(A449,'Задание 2 (Известные данные)'!$A$2:$D$501,2,FALSE)</f>
        <v>56789</v>
      </c>
      <c r="E449" s="43">
        <f>ROUND(D449*VLOOKUP(B449,'Задание 2 (Справочник)'!$B$8:$D$12,2,FALSE)/(1-VLOOKUP(B449,'Задание 2 (Справочник)'!$B$8:$D$12,3,FALSE)),0)</f>
        <v>47324</v>
      </c>
      <c r="F449" s="43">
        <f>VLOOKUP(A449,'Задание 2 (Известные данные)'!$A$2:$D$501,3,FALSE)</f>
        <v>35777</v>
      </c>
      <c r="G449" s="37">
        <f>F449*VLOOKUP(A449,'Задание 2 (Известные данные)'!$A$2:$D$501,4,FALSE)/1000</f>
        <v>3148.376</v>
      </c>
      <c r="H449" s="43">
        <f>ROUND(E449*VLOOKUP(C449,'Задание 2 (Справочник)'!$B$16:$C$18,2,FALSE),0)</f>
        <v>473</v>
      </c>
      <c r="I449" s="43">
        <f t="shared" si="2"/>
        <v>1578.92</v>
      </c>
    </row>
    <row r="450" ht="13.5" customHeight="1">
      <c r="A450" s="1" t="s">
        <v>556</v>
      </c>
      <c r="B450" s="1" t="s">
        <v>78</v>
      </c>
      <c r="C450" s="41" t="str">
        <f t="shared" si="1"/>
        <v>Маленький</v>
      </c>
      <c r="D450" s="42">
        <f>VLOOKUP(A450,'Задание 2 (Известные данные)'!$A$2:$D$501,2,FALSE)</f>
        <v>87654</v>
      </c>
      <c r="E450" s="43">
        <f>ROUND(D450*VLOOKUP(B450,'Задание 2 (Справочник)'!$B$8:$D$12,2,FALSE)/(1-VLOOKUP(B450,'Задание 2 (Справочник)'!$B$8:$D$12,3,FALSE)),0)</f>
        <v>73045</v>
      </c>
      <c r="F450" s="43">
        <f>VLOOKUP(A450,'Задание 2 (Известные данные)'!$A$2:$D$501,3,FALSE)</f>
        <v>55222</v>
      </c>
      <c r="G450" s="37">
        <f>F450*VLOOKUP(A450,'Задание 2 (Известные данные)'!$A$2:$D$501,4,FALSE)/1000</f>
        <v>6019.198</v>
      </c>
      <c r="H450" s="43">
        <f>ROUND(E450*VLOOKUP(C450,'Задание 2 (Справочник)'!$B$16:$C$18,2,FALSE),0)</f>
        <v>730</v>
      </c>
      <c r="I450" s="43">
        <f t="shared" si="2"/>
        <v>3016.9</v>
      </c>
    </row>
    <row r="451" ht="13.5" customHeight="1">
      <c r="A451" s="1" t="s">
        <v>557</v>
      </c>
      <c r="B451" s="1" t="s">
        <v>78</v>
      </c>
      <c r="C451" s="41" t="str">
        <f t="shared" si="1"/>
        <v>Маленький</v>
      </c>
      <c r="D451" s="42">
        <f>VLOOKUP(A451,'Задание 2 (Известные данные)'!$A$2:$D$501,2,FALSE)</f>
        <v>23456</v>
      </c>
      <c r="E451" s="43">
        <f>ROUND(D451*VLOOKUP(B451,'Задание 2 (Справочник)'!$B$8:$D$12,2,FALSE)/(1-VLOOKUP(B451,'Задание 2 (Справочник)'!$B$8:$D$12,3,FALSE)),0)</f>
        <v>19547</v>
      </c>
      <c r="F451" s="43">
        <f>VLOOKUP(A451,'Задание 2 (Известные данные)'!$A$2:$D$501,3,FALSE)</f>
        <v>14777</v>
      </c>
      <c r="G451" s="37">
        <f>F451*VLOOKUP(A451,'Задание 2 (Известные данные)'!$A$2:$D$501,4,FALSE)/1000</f>
        <v>1034.39</v>
      </c>
      <c r="H451" s="43">
        <f>ROUND(E451*VLOOKUP(C451,'Задание 2 (Справочник)'!$B$16:$C$18,2,FALSE),0)</f>
        <v>195</v>
      </c>
      <c r="I451" s="43">
        <f t="shared" si="2"/>
        <v>519.15</v>
      </c>
    </row>
    <row r="452" ht="13.5" customHeight="1">
      <c r="A452" s="1" t="s">
        <v>558</v>
      </c>
      <c r="B452" s="1" t="s">
        <v>78</v>
      </c>
      <c r="C452" s="41" t="str">
        <f t="shared" si="1"/>
        <v>Маленький</v>
      </c>
      <c r="D452" s="42">
        <f>VLOOKUP(A452,'Задание 2 (Известные данные)'!$A$2:$D$501,2,FALSE)</f>
        <v>98765</v>
      </c>
      <c r="E452" s="43">
        <f>ROUND(D452*VLOOKUP(B452,'Задание 2 (Справочник)'!$B$8:$D$12,2,FALSE)/(1-VLOOKUP(B452,'Задание 2 (Справочник)'!$B$8:$D$12,3,FALSE)),0)</f>
        <v>82304</v>
      </c>
      <c r="F452" s="43">
        <f>VLOOKUP(A452,'Задание 2 (Известные данные)'!$A$2:$D$501,3,FALSE)</f>
        <v>62222</v>
      </c>
      <c r="G452" s="37">
        <f>F452*VLOOKUP(A452,'Задание 2 (Известные данные)'!$A$2:$D$501,4,FALSE)/1000</f>
        <v>7093.308</v>
      </c>
      <c r="H452" s="43">
        <f>ROUND(E452*VLOOKUP(C452,'Задание 2 (Справочник)'!$B$16:$C$18,2,FALSE),0)</f>
        <v>823</v>
      </c>
      <c r="I452" s="43">
        <f t="shared" si="2"/>
        <v>3554.88</v>
      </c>
    </row>
    <row r="453" ht="13.5" customHeight="1">
      <c r="A453" s="1" t="s">
        <v>559</v>
      </c>
      <c r="B453" s="1" t="s">
        <v>78</v>
      </c>
      <c r="C453" s="41" t="str">
        <f t="shared" si="1"/>
        <v>Маленький</v>
      </c>
      <c r="D453" s="42">
        <f>VLOOKUP(A453,'Задание 2 (Известные данные)'!$A$2:$D$501,2,FALSE)</f>
        <v>34567</v>
      </c>
      <c r="E453" s="43">
        <f>ROUND(D453*VLOOKUP(B453,'Задание 2 (Справочник)'!$B$8:$D$12,2,FALSE)/(1-VLOOKUP(B453,'Задание 2 (Справочник)'!$B$8:$D$12,3,FALSE)),0)</f>
        <v>28806</v>
      </c>
      <c r="F453" s="43">
        <f>VLOOKUP(A453,'Задание 2 (Известные данные)'!$A$2:$D$501,3,FALSE)</f>
        <v>21777</v>
      </c>
      <c r="G453" s="37">
        <f>F453*VLOOKUP(A453,'Задание 2 (Известные данные)'!$A$2:$D$501,4,FALSE)/1000</f>
        <v>1959.93</v>
      </c>
      <c r="H453" s="43">
        <f>ROUND(E453*VLOOKUP(C453,'Задание 2 (Справочник)'!$B$16:$C$18,2,FALSE),0)</f>
        <v>288</v>
      </c>
      <c r="I453" s="43">
        <f t="shared" si="2"/>
        <v>982.85</v>
      </c>
    </row>
    <row r="454" ht="13.5" customHeight="1">
      <c r="A454" s="1" t="s">
        <v>560</v>
      </c>
      <c r="B454" s="1" t="s">
        <v>78</v>
      </c>
      <c r="C454" s="41" t="str">
        <f t="shared" si="1"/>
        <v>Маленький</v>
      </c>
      <c r="D454" s="42">
        <f>VLOOKUP(A454,'Задание 2 (Известные данные)'!$A$2:$D$501,2,FALSE)</f>
        <v>65432</v>
      </c>
      <c r="E454" s="43">
        <f>ROUND(D454*VLOOKUP(B454,'Задание 2 (Справочник)'!$B$8:$D$12,2,FALSE)/(1-VLOOKUP(B454,'Задание 2 (Справочник)'!$B$8:$D$12,3,FALSE)),0)</f>
        <v>54527</v>
      </c>
      <c r="F454" s="43">
        <f>VLOOKUP(A454,'Задание 2 (Известные данные)'!$A$2:$D$501,3,FALSE)</f>
        <v>41222</v>
      </c>
      <c r="G454" s="37">
        <f>F454*VLOOKUP(A454,'Задание 2 (Известные данные)'!$A$2:$D$501,4,FALSE)/1000</f>
        <v>4122.2</v>
      </c>
      <c r="H454" s="43">
        <f>ROUND(E454*VLOOKUP(C454,'Задание 2 (Справочник)'!$B$16:$C$18,2,FALSE),0)</f>
        <v>545</v>
      </c>
      <c r="I454" s="43">
        <f t="shared" si="2"/>
        <v>2066.55</v>
      </c>
    </row>
    <row r="455" ht="13.5" customHeight="1">
      <c r="A455" s="1" t="s">
        <v>561</v>
      </c>
      <c r="B455" s="1" t="s">
        <v>78</v>
      </c>
      <c r="C455" s="41" t="str">
        <f t="shared" si="1"/>
        <v>Маленький</v>
      </c>
      <c r="D455" s="42">
        <f>VLOOKUP(A455,'Задание 2 (Известные данные)'!$A$2:$D$501,2,FALSE)</f>
        <v>12345</v>
      </c>
      <c r="E455" s="43">
        <f>ROUND(D455*VLOOKUP(B455,'Задание 2 (Справочник)'!$B$8:$D$12,2,FALSE)/(1-VLOOKUP(B455,'Задание 2 (Справочник)'!$B$8:$D$12,3,FALSE)),0)</f>
        <v>10288</v>
      </c>
      <c r="F455" s="43">
        <f>VLOOKUP(A455,'Задание 2 (Известные данные)'!$A$2:$D$501,3,FALSE)</f>
        <v>7778</v>
      </c>
      <c r="G455" s="37">
        <f>F455*VLOOKUP(A455,'Задание 2 (Известные данные)'!$A$2:$D$501,4,FALSE)/1000</f>
        <v>497.792</v>
      </c>
      <c r="H455" s="43">
        <f>ROUND(E455*VLOOKUP(C455,'Задание 2 (Справочник)'!$B$16:$C$18,2,FALSE),0)</f>
        <v>103</v>
      </c>
      <c r="I455" s="43">
        <f t="shared" si="2"/>
        <v>249.93</v>
      </c>
    </row>
    <row r="456" ht="13.5" customHeight="1">
      <c r="A456" s="1" t="s">
        <v>562</v>
      </c>
      <c r="B456" s="1" t="s">
        <v>78</v>
      </c>
      <c r="C456" s="41" t="str">
        <f t="shared" si="1"/>
        <v>Маленький</v>
      </c>
      <c r="D456" s="42">
        <f>VLOOKUP(A456,'Задание 2 (Известные данные)'!$A$2:$D$501,2,FALSE)</f>
        <v>76543</v>
      </c>
      <c r="E456" s="43">
        <f>ROUND(D456*VLOOKUP(B456,'Задание 2 (Справочник)'!$B$8:$D$12,2,FALSE)/(1-VLOOKUP(B456,'Задание 2 (Справочник)'!$B$8:$D$12,3,FALSE)),0)</f>
        <v>63786</v>
      </c>
      <c r="F456" s="43">
        <f>VLOOKUP(A456,'Задание 2 (Известные данные)'!$A$2:$D$501,3,FALSE)</f>
        <v>48222</v>
      </c>
      <c r="G456" s="37">
        <f>F456*VLOOKUP(A456,'Задание 2 (Известные данные)'!$A$2:$D$501,4,FALSE)/1000</f>
        <v>5111.532</v>
      </c>
      <c r="H456" s="43">
        <f>ROUND(E456*VLOOKUP(C456,'Задание 2 (Справочник)'!$B$16:$C$18,2,FALSE),0)</f>
        <v>638</v>
      </c>
      <c r="I456" s="43">
        <f t="shared" si="2"/>
        <v>2562.15</v>
      </c>
    </row>
    <row r="457" ht="13.5" customHeight="1">
      <c r="A457" s="1" t="s">
        <v>563</v>
      </c>
      <c r="B457" s="1" t="s">
        <v>78</v>
      </c>
      <c r="C457" s="41" t="str">
        <f t="shared" si="1"/>
        <v>Маленький</v>
      </c>
      <c r="D457" s="42">
        <f>VLOOKUP(A457,'Задание 2 (Известные данные)'!$A$2:$D$501,2,FALSE)</f>
        <v>43210</v>
      </c>
      <c r="E457" s="43">
        <f>ROUND(D457*VLOOKUP(B457,'Задание 2 (Справочник)'!$B$8:$D$12,2,FALSE)/(1-VLOOKUP(B457,'Задание 2 (Справочник)'!$B$8:$D$12,3,FALSE)),0)</f>
        <v>36008</v>
      </c>
      <c r="F457" s="43">
        <f>VLOOKUP(A457,'Задание 2 (Известные данные)'!$A$2:$D$501,3,FALSE)</f>
        <v>27222</v>
      </c>
      <c r="G457" s="37">
        <f>F457*VLOOKUP(A457,'Задание 2 (Известные данные)'!$A$2:$D$501,4,FALSE)/1000</f>
        <v>2368.314</v>
      </c>
      <c r="H457" s="43">
        <f>ROUND(E457*VLOOKUP(C457,'Задание 2 (Справочник)'!$B$16:$C$18,2,FALSE),0)</f>
        <v>360</v>
      </c>
      <c r="I457" s="43">
        <f t="shared" si="2"/>
        <v>1187.76</v>
      </c>
    </row>
    <row r="458" ht="13.5" customHeight="1">
      <c r="A458" s="1" t="s">
        <v>564</v>
      </c>
      <c r="B458" s="1" t="s">
        <v>78</v>
      </c>
      <c r="C458" s="41" t="str">
        <f t="shared" si="1"/>
        <v>Маленький</v>
      </c>
      <c r="D458" s="42">
        <f>VLOOKUP(A458,'Задание 2 (Известные данные)'!$A$2:$D$501,2,FALSE)</f>
        <v>56789</v>
      </c>
      <c r="E458" s="43">
        <f>ROUND(D458*VLOOKUP(B458,'Задание 2 (Справочник)'!$B$8:$D$12,2,FALSE)/(1-VLOOKUP(B458,'Задание 2 (Справочник)'!$B$8:$D$12,3,FALSE)),0)</f>
        <v>47324</v>
      </c>
      <c r="F458" s="43">
        <f>VLOOKUP(A458,'Задание 2 (Известные данные)'!$A$2:$D$501,3,FALSE)</f>
        <v>35777</v>
      </c>
      <c r="G458" s="37">
        <f>F458*VLOOKUP(A458,'Задание 2 (Известные данные)'!$A$2:$D$501,4,FALSE)/1000</f>
        <v>3112.599</v>
      </c>
      <c r="H458" s="43">
        <f>ROUND(E458*VLOOKUP(C458,'Задание 2 (Справочник)'!$B$16:$C$18,2,FALSE),0)</f>
        <v>473</v>
      </c>
      <c r="I458" s="43">
        <f t="shared" si="2"/>
        <v>1561.03</v>
      </c>
    </row>
    <row r="459" ht="13.5" customHeight="1">
      <c r="A459" s="1" t="s">
        <v>565</v>
      </c>
      <c r="B459" s="1" t="s">
        <v>78</v>
      </c>
      <c r="C459" s="41" t="str">
        <f t="shared" si="1"/>
        <v>Маленький</v>
      </c>
      <c r="D459" s="42">
        <f>VLOOKUP(A459,'Задание 2 (Известные данные)'!$A$2:$D$501,2,FALSE)</f>
        <v>87654</v>
      </c>
      <c r="E459" s="43">
        <f>ROUND(D459*VLOOKUP(B459,'Задание 2 (Справочник)'!$B$8:$D$12,2,FALSE)/(1-VLOOKUP(B459,'Задание 2 (Справочник)'!$B$8:$D$12,3,FALSE)),0)</f>
        <v>73045</v>
      </c>
      <c r="F459" s="43">
        <f>VLOOKUP(A459,'Задание 2 (Известные данные)'!$A$2:$D$501,3,FALSE)</f>
        <v>55222</v>
      </c>
      <c r="G459" s="37">
        <f>F459*VLOOKUP(A459,'Задание 2 (Известные данные)'!$A$2:$D$501,4,FALSE)/1000</f>
        <v>6074.42</v>
      </c>
      <c r="H459" s="43">
        <f>ROUND(E459*VLOOKUP(C459,'Задание 2 (Справочник)'!$B$16:$C$18,2,FALSE),0)</f>
        <v>730</v>
      </c>
      <c r="I459" s="43">
        <f t="shared" si="2"/>
        <v>3044.51</v>
      </c>
    </row>
    <row r="460" ht="13.5" customHeight="1">
      <c r="A460" s="1" t="s">
        <v>566</v>
      </c>
      <c r="B460" s="1" t="s">
        <v>78</v>
      </c>
      <c r="C460" s="41" t="str">
        <f t="shared" si="1"/>
        <v>Маленький</v>
      </c>
      <c r="D460" s="42">
        <f>VLOOKUP(A460,'Задание 2 (Известные данные)'!$A$2:$D$501,2,FALSE)</f>
        <v>23456</v>
      </c>
      <c r="E460" s="43">
        <f>ROUND(D460*VLOOKUP(B460,'Задание 2 (Справочник)'!$B$8:$D$12,2,FALSE)/(1-VLOOKUP(B460,'Задание 2 (Справочник)'!$B$8:$D$12,3,FALSE)),0)</f>
        <v>19547</v>
      </c>
      <c r="F460" s="43">
        <f>VLOOKUP(A460,'Задание 2 (Известные данные)'!$A$2:$D$501,3,FALSE)</f>
        <v>14777</v>
      </c>
      <c r="G460" s="37">
        <f>F460*VLOOKUP(A460,'Задание 2 (Известные данные)'!$A$2:$D$501,4,FALSE)/1000</f>
        <v>1019.613</v>
      </c>
      <c r="H460" s="43">
        <f>ROUND(E460*VLOOKUP(C460,'Задание 2 (Справочник)'!$B$16:$C$18,2,FALSE),0)</f>
        <v>195</v>
      </c>
      <c r="I460" s="43">
        <f t="shared" si="2"/>
        <v>511.76</v>
      </c>
    </row>
    <row r="461" ht="13.5" customHeight="1">
      <c r="A461" s="1" t="s">
        <v>567</v>
      </c>
      <c r="B461" s="1" t="s">
        <v>78</v>
      </c>
      <c r="C461" s="41" t="str">
        <f t="shared" si="1"/>
        <v>Маленький</v>
      </c>
      <c r="D461" s="42">
        <f>VLOOKUP(A461,'Задание 2 (Известные данные)'!$A$2:$D$501,2,FALSE)</f>
        <v>98765</v>
      </c>
      <c r="E461" s="43">
        <f>ROUND(D461*VLOOKUP(B461,'Задание 2 (Справочник)'!$B$8:$D$12,2,FALSE)/(1-VLOOKUP(B461,'Задание 2 (Справочник)'!$B$8:$D$12,3,FALSE)),0)</f>
        <v>82304</v>
      </c>
      <c r="F461" s="43">
        <f>VLOOKUP(A461,'Задание 2 (Известные данные)'!$A$2:$D$501,3,FALSE)</f>
        <v>62222</v>
      </c>
      <c r="G461" s="37">
        <f>F461*VLOOKUP(A461,'Задание 2 (Известные данные)'!$A$2:$D$501,4,FALSE)/1000</f>
        <v>7155.53</v>
      </c>
      <c r="H461" s="43">
        <f>ROUND(E461*VLOOKUP(C461,'Задание 2 (Справочник)'!$B$16:$C$18,2,FALSE),0)</f>
        <v>823</v>
      </c>
      <c r="I461" s="43">
        <f t="shared" si="2"/>
        <v>3586</v>
      </c>
    </row>
    <row r="462" ht="13.5" customHeight="1">
      <c r="A462" s="1" t="s">
        <v>568</v>
      </c>
      <c r="B462" s="1" t="s">
        <v>78</v>
      </c>
      <c r="C462" s="41" t="str">
        <f t="shared" si="1"/>
        <v>Маленький</v>
      </c>
      <c r="D462" s="42">
        <f>VLOOKUP(A462,'Задание 2 (Известные данные)'!$A$2:$D$501,2,FALSE)</f>
        <v>34567</v>
      </c>
      <c r="E462" s="43">
        <f>ROUND(D462*VLOOKUP(B462,'Задание 2 (Справочник)'!$B$8:$D$12,2,FALSE)/(1-VLOOKUP(B462,'Задание 2 (Справочник)'!$B$8:$D$12,3,FALSE)),0)</f>
        <v>28806</v>
      </c>
      <c r="F462" s="43">
        <f>VLOOKUP(A462,'Задание 2 (Известные данные)'!$A$2:$D$501,3,FALSE)</f>
        <v>21777</v>
      </c>
      <c r="G462" s="37">
        <f>F462*VLOOKUP(A462,'Задание 2 (Известные данные)'!$A$2:$D$501,4,FALSE)/1000</f>
        <v>1981.707</v>
      </c>
      <c r="H462" s="43">
        <f>ROUND(E462*VLOOKUP(C462,'Задание 2 (Справочник)'!$B$16:$C$18,2,FALSE),0)</f>
        <v>288</v>
      </c>
      <c r="I462" s="43">
        <f t="shared" si="2"/>
        <v>993.73</v>
      </c>
    </row>
    <row r="463" ht="13.5" customHeight="1">
      <c r="A463" s="1" t="s">
        <v>569</v>
      </c>
      <c r="B463" s="1" t="s">
        <v>78</v>
      </c>
      <c r="C463" s="41" t="str">
        <f t="shared" si="1"/>
        <v>Маленький</v>
      </c>
      <c r="D463" s="42">
        <f>VLOOKUP(A463,'Задание 2 (Известные данные)'!$A$2:$D$501,2,FALSE)</f>
        <v>65432</v>
      </c>
      <c r="E463" s="43">
        <f>ROUND(D463*VLOOKUP(B463,'Задание 2 (Справочник)'!$B$8:$D$12,2,FALSE)/(1-VLOOKUP(B463,'Задание 2 (Справочник)'!$B$8:$D$12,3,FALSE)),0)</f>
        <v>54527</v>
      </c>
      <c r="F463" s="43">
        <f>VLOOKUP(A463,'Задание 2 (Известные данные)'!$A$2:$D$501,3,FALSE)</f>
        <v>41222</v>
      </c>
      <c r="G463" s="37">
        <f>F463*VLOOKUP(A463,'Задание 2 (Известные данные)'!$A$2:$D$501,4,FALSE)/1000</f>
        <v>4163.422</v>
      </c>
      <c r="H463" s="43">
        <f>ROUND(E463*VLOOKUP(C463,'Задание 2 (Справочник)'!$B$16:$C$18,2,FALSE),0)</f>
        <v>545</v>
      </c>
      <c r="I463" s="43">
        <f t="shared" si="2"/>
        <v>2087.16</v>
      </c>
    </row>
    <row r="464" ht="13.5" customHeight="1">
      <c r="A464" s="1" t="s">
        <v>570</v>
      </c>
      <c r="B464" s="1" t="s">
        <v>78</v>
      </c>
      <c r="C464" s="41" t="str">
        <f t="shared" si="1"/>
        <v>Маленький</v>
      </c>
      <c r="D464" s="42">
        <f>VLOOKUP(A464,'Задание 2 (Известные данные)'!$A$2:$D$501,2,FALSE)</f>
        <v>12345</v>
      </c>
      <c r="E464" s="43">
        <f>ROUND(D464*VLOOKUP(B464,'Задание 2 (Справочник)'!$B$8:$D$12,2,FALSE)/(1-VLOOKUP(B464,'Задание 2 (Справочник)'!$B$8:$D$12,3,FALSE)),0)</f>
        <v>10288</v>
      </c>
      <c r="F464" s="43">
        <f>VLOOKUP(A464,'Задание 2 (Известные данные)'!$A$2:$D$501,3,FALSE)</f>
        <v>7778</v>
      </c>
      <c r="G464" s="37">
        <f>F464*VLOOKUP(A464,'Задание 2 (Известные данные)'!$A$2:$D$501,4,FALSE)/1000</f>
        <v>490.014</v>
      </c>
      <c r="H464" s="43">
        <f>ROUND(E464*VLOOKUP(C464,'Задание 2 (Справочник)'!$B$16:$C$18,2,FALSE),0)</f>
        <v>103</v>
      </c>
      <c r="I464" s="43">
        <f t="shared" si="2"/>
        <v>246.04</v>
      </c>
    </row>
    <row r="465" ht="13.5" customHeight="1">
      <c r="A465" s="1" t="s">
        <v>571</v>
      </c>
      <c r="B465" s="1" t="s">
        <v>78</v>
      </c>
      <c r="C465" s="41" t="str">
        <f t="shared" si="1"/>
        <v>Маленький</v>
      </c>
      <c r="D465" s="42">
        <f>VLOOKUP(A465,'Задание 2 (Известные данные)'!$A$2:$D$501,2,FALSE)</f>
        <v>76543</v>
      </c>
      <c r="E465" s="43">
        <f>ROUND(D465*VLOOKUP(B465,'Задание 2 (Справочник)'!$B$8:$D$12,2,FALSE)/(1-VLOOKUP(B465,'Задание 2 (Справочник)'!$B$8:$D$12,3,FALSE)),0)</f>
        <v>63786</v>
      </c>
      <c r="F465" s="43">
        <f>VLOOKUP(A465,'Задание 2 (Известные данные)'!$A$2:$D$501,3,FALSE)</f>
        <v>48222</v>
      </c>
      <c r="G465" s="37">
        <f>F465*VLOOKUP(A465,'Задание 2 (Известные данные)'!$A$2:$D$501,4,FALSE)/1000</f>
        <v>5159.754</v>
      </c>
      <c r="H465" s="43">
        <f>ROUND(E465*VLOOKUP(C465,'Задание 2 (Справочник)'!$B$16:$C$18,2,FALSE),0)</f>
        <v>638</v>
      </c>
      <c r="I465" s="43">
        <f t="shared" si="2"/>
        <v>2586.26</v>
      </c>
    </row>
    <row r="466" ht="13.5" customHeight="1">
      <c r="A466" s="1" t="s">
        <v>572</v>
      </c>
      <c r="B466" s="1" t="s">
        <v>78</v>
      </c>
      <c r="C466" s="41" t="str">
        <f t="shared" si="1"/>
        <v>Маленький</v>
      </c>
      <c r="D466" s="42">
        <f>VLOOKUP(A466,'Задание 2 (Известные данные)'!$A$2:$D$501,2,FALSE)</f>
        <v>43210</v>
      </c>
      <c r="E466" s="43">
        <f>ROUND(D466*VLOOKUP(B466,'Задание 2 (Справочник)'!$B$8:$D$12,2,FALSE)/(1-VLOOKUP(B466,'Задание 2 (Справочник)'!$B$8:$D$12,3,FALSE)),0)</f>
        <v>36008</v>
      </c>
      <c r="F466" s="43">
        <f>VLOOKUP(A466,'Задание 2 (Известные данные)'!$A$2:$D$501,3,FALSE)</f>
        <v>27222</v>
      </c>
      <c r="G466" s="37">
        <f>F466*VLOOKUP(A466,'Задание 2 (Известные данные)'!$A$2:$D$501,4,FALSE)/1000</f>
        <v>2395.536</v>
      </c>
      <c r="H466" s="43">
        <f>ROUND(E466*VLOOKUP(C466,'Задание 2 (Справочник)'!$B$16:$C$18,2,FALSE),0)</f>
        <v>360</v>
      </c>
      <c r="I466" s="43">
        <f t="shared" si="2"/>
        <v>1201.37</v>
      </c>
    </row>
    <row r="467" ht="13.5" customHeight="1">
      <c r="A467" s="1" t="s">
        <v>573</v>
      </c>
      <c r="B467" s="1" t="s">
        <v>78</v>
      </c>
      <c r="C467" s="41" t="str">
        <f t="shared" si="1"/>
        <v>Маленький</v>
      </c>
      <c r="D467" s="42">
        <f>VLOOKUP(A467,'Задание 2 (Известные данные)'!$A$2:$D$501,2,FALSE)</f>
        <v>56789</v>
      </c>
      <c r="E467" s="43">
        <f>ROUND(D467*VLOOKUP(B467,'Задание 2 (Справочник)'!$B$8:$D$12,2,FALSE)/(1-VLOOKUP(B467,'Задание 2 (Справочник)'!$B$8:$D$12,3,FALSE)),0)</f>
        <v>47324</v>
      </c>
      <c r="F467" s="43">
        <f>VLOOKUP(A467,'Задание 2 (Известные данные)'!$A$2:$D$501,3,FALSE)</f>
        <v>35777</v>
      </c>
      <c r="G467" s="37">
        <f>F467*VLOOKUP(A467,'Задание 2 (Известные данные)'!$A$2:$D$501,4,FALSE)/1000</f>
        <v>3076.822</v>
      </c>
      <c r="H467" s="43">
        <f>ROUND(E467*VLOOKUP(C467,'Задание 2 (Справочник)'!$B$16:$C$18,2,FALSE),0)</f>
        <v>473</v>
      </c>
      <c r="I467" s="43">
        <f t="shared" si="2"/>
        <v>1543.14</v>
      </c>
    </row>
    <row r="468" ht="13.5" customHeight="1">
      <c r="A468" s="1" t="s">
        <v>574</v>
      </c>
      <c r="B468" s="1" t="s">
        <v>78</v>
      </c>
      <c r="C468" s="41" t="str">
        <f t="shared" si="1"/>
        <v>Маленький</v>
      </c>
      <c r="D468" s="42">
        <f>VLOOKUP(A468,'Задание 2 (Известные данные)'!$A$2:$D$501,2,FALSE)</f>
        <v>87654</v>
      </c>
      <c r="E468" s="43">
        <f>ROUND(D468*VLOOKUP(B468,'Задание 2 (Справочник)'!$B$8:$D$12,2,FALSE)/(1-VLOOKUP(B468,'Задание 2 (Справочник)'!$B$8:$D$12,3,FALSE)),0)</f>
        <v>73045</v>
      </c>
      <c r="F468" s="43">
        <f>VLOOKUP(A468,'Задание 2 (Известные данные)'!$A$2:$D$501,3,FALSE)</f>
        <v>55222</v>
      </c>
      <c r="G468" s="37">
        <f>F468*VLOOKUP(A468,'Задание 2 (Известные данные)'!$A$2:$D$501,4,FALSE)/1000</f>
        <v>6129.642</v>
      </c>
      <c r="H468" s="43">
        <f>ROUND(E468*VLOOKUP(C468,'Задание 2 (Справочник)'!$B$16:$C$18,2,FALSE),0)</f>
        <v>730</v>
      </c>
      <c r="I468" s="43">
        <f t="shared" si="2"/>
        <v>3072.12</v>
      </c>
    </row>
    <row r="469" ht="13.5" customHeight="1">
      <c r="A469" s="1" t="s">
        <v>575</v>
      </c>
      <c r="B469" s="1" t="s">
        <v>78</v>
      </c>
      <c r="C469" s="41" t="str">
        <f t="shared" si="1"/>
        <v>Маленький</v>
      </c>
      <c r="D469" s="42">
        <f>VLOOKUP(A469,'Задание 2 (Известные данные)'!$A$2:$D$501,2,FALSE)</f>
        <v>23456</v>
      </c>
      <c r="E469" s="43">
        <f>ROUND(D469*VLOOKUP(B469,'Задание 2 (Справочник)'!$B$8:$D$12,2,FALSE)/(1-VLOOKUP(B469,'Задание 2 (Справочник)'!$B$8:$D$12,3,FALSE)),0)</f>
        <v>19547</v>
      </c>
      <c r="F469" s="43">
        <f>VLOOKUP(A469,'Задание 2 (Известные данные)'!$A$2:$D$501,3,FALSE)</f>
        <v>14777</v>
      </c>
      <c r="G469" s="37">
        <f>F469*VLOOKUP(A469,'Задание 2 (Известные данные)'!$A$2:$D$501,4,FALSE)/1000</f>
        <v>1004.836</v>
      </c>
      <c r="H469" s="43">
        <f>ROUND(E469*VLOOKUP(C469,'Задание 2 (Справочник)'!$B$16:$C$18,2,FALSE),0)</f>
        <v>195</v>
      </c>
      <c r="I469" s="43">
        <f t="shared" si="2"/>
        <v>504.37</v>
      </c>
    </row>
    <row r="470" ht="13.5" customHeight="1">
      <c r="A470" s="1" t="s">
        <v>576</v>
      </c>
      <c r="B470" s="1" t="s">
        <v>78</v>
      </c>
      <c r="C470" s="41" t="str">
        <f t="shared" si="1"/>
        <v>Маленький</v>
      </c>
      <c r="D470" s="42">
        <f>VLOOKUP(A470,'Задание 2 (Известные данные)'!$A$2:$D$501,2,FALSE)</f>
        <v>98765</v>
      </c>
      <c r="E470" s="43">
        <f>ROUND(D470*VLOOKUP(B470,'Задание 2 (Справочник)'!$B$8:$D$12,2,FALSE)/(1-VLOOKUP(B470,'Задание 2 (Справочник)'!$B$8:$D$12,3,FALSE)),0)</f>
        <v>82304</v>
      </c>
      <c r="F470" s="43">
        <f>VLOOKUP(A470,'Задание 2 (Известные данные)'!$A$2:$D$501,3,FALSE)</f>
        <v>62222</v>
      </c>
      <c r="G470" s="37">
        <f>F470*VLOOKUP(A470,'Задание 2 (Известные данные)'!$A$2:$D$501,4,FALSE)/1000</f>
        <v>7217.752</v>
      </c>
      <c r="H470" s="43">
        <f>ROUND(E470*VLOOKUP(C470,'Задание 2 (Справочник)'!$B$16:$C$18,2,FALSE),0)</f>
        <v>823</v>
      </c>
      <c r="I470" s="43">
        <f t="shared" si="2"/>
        <v>3617.11</v>
      </c>
    </row>
    <row r="471" ht="13.5" customHeight="1">
      <c r="A471" s="1" t="s">
        <v>577</v>
      </c>
      <c r="B471" s="1" t="s">
        <v>78</v>
      </c>
      <c r="C471" s="41" t="str">
        <f t="shared" si="1"/>
        <v>Маленький</v>
      </c>
      <c r="D471" s="42">
        <f>VLOOKUP(A471,'Задание 2 (Известные данные)'!$A$2:$D$501,2,FALSE)</f>
        <v>34567</v>
      </c>
      <c r="E471" s="43">
        <f>ROUND(D471*VLOOKUP(B471,'Задание 2 (Справочник)'!$B$8:$D$12,2,FALSE)/(1-VLOOKUP(B471,'Задание 2 (Справочник)'!$B$8:$D$12,3,FALSE)),0)</f>
        <v>28806</v>
      </c>
      <c r="F471" s="43">
        <f>VLOOKUP(A471,'Задание 2 (Известные данные)'!$A$2:$D$501,3,FALSE)</f>
        <v>21777</v>
      </c>
      <c r="G471" s="37">
        <f>F471*VLOOKUP(A471,'Задание 2 (Известные данные)'!$A$2:$D$501,4,FALSE)/1000</f>
        <v>2003.484</v>
      </c>
      <c r="H471" s="43">
        <f>ROUND(E471*VLOOKUP(C471,'Задание 2 (Справочник)'!$B$16:$C$18,2,FALSE),0)</f>
        <v>288</v>
      </c>
      <c r="I471" s="43">
        <f t="shared" si="2"/>
        <v>1004.62</v>
      </c>
    </row>
    <row r="472" ht="13.5" customHeight="1">
      <c r="A472" s="1" t="s">
        <v>578</v>
      </c>
      <c r="B472" s="1" t="s">
        <v>78</v>
      </c>
      <c r="C472" s="41" t="str">
        <f t="shared" si="1"/>
        <v>Маленький</v>
      </c>
      <c r="D472" s="42">
        <f>VLOOKUP(A472,'Задание 2 (Известные данные)'!$A$2:$D$501,2,FALSE)</f>
        <v>65432</v>
      </c>
      <c r="E472" s="43">
        <f>ROUND(D472*VLOOKUP(B472,'Задание 2 (Справочник)'!$B$8:$D$12,2,FALSE)/(1-VLOOKUP(B472,'Задание 2 (Справочник)'!$B$8:$D$12,3,FALSE)),0)</f>
        <v>54527</v>
      </c>
      <c r="F472" s="43">
        <f>VLOOKUP(A472,'Задание 2 (Известные данные)'!$A$2:$D$501,3,FALSE)</f>
        <v>41222</v>
      </c>
      <c r="G472" s="37">
        <f>F472*VLOOKUP(A472,'Задание 2 (Известные данные)'!$A$2:$D$501,4,FALSE)/1000</f>
        <v>4204.644</v>
      </c>
      <c r="H472" s="43">
        <f>ROUND(E472*VLOOKUP(C472,'Задание 2 (Справочник)'!$B$16:$C$18,2,FALSE),0)</f>
        <v>545</v>
      </c>
      <c r="I472" s="43">
        <f t="shared" si="2"/>
        <v>2107.77</v>
      </c>
    </row>
    <row r="473" ht="13.5" customHeight="1">
      <c r="A473" s="1" t="s">
        <v>579</v>
      </c>
      <c r="B473" s="1" t="s">
        <v>78</v>
      </c>
      <c r="C473" s="41" t="str">
        <f t="shared" si="1"/>
        <v>Маленький</v>
      </c>
      <c r="D473" s="42">
        <f>VLOOKUP(A473,'Задание 2 (Известные данные)'!$A$2:$D$501,2,FALSE)</f>
        <v>12345</v>
      </c>
      <c r="E473" s="43">
        <f>ROUND(D473*VLOOKUP(B473,'Задание 2 (Справочник)'!$B$8:$D$12,2,FALSE)/(1-VLOOKUP(B473,'Задание 2 (Справочник)'!$B$8:$D$12,3,FALSE)),0)</f>
        <v>10288</v>
      </c>
      <c r="F473" s="43">
        <f>VLOOKUP(A473,'Задание 2 (Известные данные)'!$A$2:$D$501,3,FALSE)</f>
        <v>7778</v>
      </c>
      <c r="G473" s="37">
        <f>F473*VLOOKUP(A473,'Задание 2 (Известные данные)'!$A$2:$D$501,4,FALSE)/1000</f>
        <v>482.236</v>
      </c>
      <c r="H473" s="43">
        <f>ROUND(E473*VLOOKUP(C473,'Задание 2 (Справочник)'!$B$16:$C$18,2,FALSE),0)</f>
        <v>103</v>
      </c>
      <c r="I473" s="43">
        <f t="shared" si="2"/>
        <v>242.15</v>
      </c>
    </row>
    <row r="474" ht="13.5" customHeight="1">
      <c r="A474" s="1" t="s">
        <v>580</v>
      </c>
      <c r="B474" s="1" t="s">
        <v>78</v>
      </c>
      <c r="C474" s="41" t="str">
        <f t="shared" si="1"/>
        <v>Маленький</v>
      </c>
      <c r="D474" s="42">
        <f>VLOOKUP(A474,'Задание 2 (Известные данные)'!$A$2:$D$501,2,FALSE)</f>
        <v>76543</v>
      </c>
      <c r="E474" s="43">
        <f>ROUND(D474*VLOOKUP(B474,'Задание 2 (Справочник)'!$B$8:$D$12,2,FALSE)/(1-VLOOKUP(B474,'Задание 2 (Справочник)'!$B$8:$D$12,3,FALSE)),0)</f>
        <v>63786</v>
      </c>
      <c r="F474" s="43">
        <f>VLOOKUP(A474,'Задание 2 (Известные данные)'!$A$2:$D$501,3,FALSE)</f>
        <v>48222</v>
      </c>
      <c r="G474" s="37">
        <f>F474*VLOOKUP(A474,'Задание 2 (Известные данные)'!$A$2:$D$501,4,FALSE)/1000</f>
        <v>5207.976</v>
      </c>
      <c r="H474" s="43">
        <f>ROUND(E474*VLOOKUP(C474,'Задание 2 (Справочник)'!$B$16:$C$18,2,FALSE),0)</f>
        <v>638</v>
      </c>
      <c r="I474" s="43">
        <f t="shared" si="2"/>
        <v>2610.37</v>
      </c>
    </row>
    <row r="475" ht="13.5" customHeight="1">
      <c r="A475" s="1" t="s">
        <v>581</v>
      </c>
      <c r="B475" s="1" t="s">
        <v>78</v>
      </c>
      <c r="C475" s="41" t="str">
        <f t="shared" si="1"/>
        <v>Маленький</v>
      </c>
      <c r="D475" s="42">
        <f>VLOOKUP(A475,'Задание 2 (Известные данные)'!$A$2:$D$501,2,FALSE)</f>
        <v>43210</v>
      </c>
      <c r="E475" s="43">
        <f>ROUND(D475*VLOOKUP(B475,'Задание 2 (Справочник)'!$B$8:$D$12,2,FALSE)/(1-VLOOKUP(B475,'Задание 2 (Справочник)'!$B$8:$D$12,3,FALSE)),0)</f>
        <v>36008</v>
      </c>
      <c r="F475" s="43">
        <f>VLOOKUP(A475,'Задание 2 (Известные данные)'!$A$2:$D$501,3,FALSE)</f>
        <v>27222</v>
      </c>
      <c r="G475" s="37">
        <f>F475*VLOOKUP(A475,'Задание 2 (Известные данные)'!$A$2:$D$501,4,FALSE)/1000</f>
        <v>2422.758</v>
      </c>
      <c r="H475" s="43">
        <f>ROUND(E475*VLOOKUP(C475,'Задание 2 (Справочник)'!$B$16:$C$18,2,FALSE),0)</f>
        <v>360</v>
      </c>
      <c r="I475" s="43">
        <f t="shared" si="2"/>
        <v>1214.98</v>
      </c>
    </row>
    <row r="476" ht="13.5" customHeight="1">
      <c r="A476" s="1" t="s">
        <v>582</v>
      </c>
      <c r="B476" s="1" t="s">
        <v>78</v>
      </c>
      <c r="C476" s="41" t="str">
        <f t="shared" si="1"/>
        <v>Маленький</v>
      </c>
      <c r="D476" s="42">
        <f>VLOOKUP(A476,'Задание 2 (Известные данные)'!$A$2:$D$501,2,FALSE)</f>
        <v>56789</v>
      </c>
      <c r="E476" s="43">
        <f>ROUND(D476*VLOOKUP(B476,'Задание 2 (Справочник)'!$B$8:$D$12,2,FALSE)/(1-VLOOKUP(B476,'Задание 2 (Справочник)'!$B$8:$D$12,3,FALSE)),0)</f>
        <v>47324</v>
      </c>
      <c r="F476" s="43">
        <f>VLOOKUP(A476,'Задание 2 (Известные данные)'!$A$2:$D$501,3,FALSE)</f>
        <v>35777</v>
      </c>
      <c r="G476" s="37">
        <f>F476*VLOOKUP(A476,'Задание 2 (Известные данные)'!$A$2:$D$501,4,FALSE)/1000</f>
        <v>3041.045</v>
      </c>
      <c r="H476" s="43">
        <f>ROUND(E476*VLOOKUP(C476,'Задание 2 (Справочник)'!$B$16:$C$18,2,FALSE),0)</f>
        <v>473</v>
      </c>
      <c r="I476" s="43">
        <f t="shared" si="2"/>
        <v>1525.25</v>
      </c>
    </row>
    <row r="477" ht="13.5" customHeight="1">
      <c r="A477" s="1" t="s">
        <v>583</v>
      </c>
      <c r="B477" s="1" t="s">
        <v>78</v>
      </c>
      <c r="C477" s="41" t="str">
        <f t="shared" si="1"/>
        <v>Маленький</v>
      </c>
      <c r="D477" s="42">
        <f>VLOOKUP(A477,'Задание 2 (Известные данные)'!$A$2:$D$501,2,FALSE)</f>
        <v>87654</v>
      </c>
      <c r="E477" s="43">
        <f>ROUND(D477*VLOOKUP(B477,'Задание 2 (Справочник)'!$B$8:$D$12,2,FALSE)/(1-VLOOKUP(B477,'Задание 2 (Справочник)'!$B$8:$D$12,3,FALSE)),0)</f>
        <v>73045</v>
      </c>
      <c r="F477" s="43">
        <f>VLOOKUP(A477,'Задание 2 (Известные данные)'!$A$2:$D$501,3,FALSE)</f>
        <v>55222</v>
      </c>
      <c r="G477" s="37">
        <f>F477*VLOOKUP(A477,'Задание 2 (Известные данные)'!$A$2:$D$501,4,FALSE)/1000</f>
        <v>6184.864</v>
      </c>
      <c r="H477" s="43">
        <f>ROUND(E477*VLOOKUP(C477,'Задание 2 (Справочник)'!$B$16:$C$18,2,FALSE),0)</f>
        <v>730</v>
      </c>
      <c r="I477" s="43">
        <f t="shared" si="2"/>
        <v>3099.73</v>
      </c>
    </row>
    <row r="478" ht="13.5" customHeight="1">
      <c r="A478" s="1" t="s">
        <v>584</v>
      </c>
      <c r="B478" s="1" t="s">
        <v>78</v>
      </c>
      <c r="C478" s="41" t="str">
        <f t="shared" si="1"/>
        <v>Маленький</v>
      </c>
      <c r="D478" s="42">
        <f>VLOOKUP(A478,'Задание 2 (Известные данные)'!$A$2:$D$501,2,FALSE)</f>
        <v>23456</v>
      </c>
      <c r="E478" s="43">
        <f>ROUND(D478*VLOOKUP(B478,'Задание 2 (Справочник)'!$B$8:$D$12,2,FALSE)/(1-VLOOKUP(B478,'Задание 2 (Справочник)'!$B$8:$D$12,3,FALSE)),0)</f>
        <v>19547</v>
      </c>
      <c r="F478" s="43">
        <f>VLOOKUP(A478,'Задание 2 (Известные данные)'!$A$2:$D$501,3,FALSE)</f>
        <v>14777</v>
      </c>
      <c r="G478" s="37">
        <f>F478*VLOOKUP(A478,'Задание 2 (Известные данные)'!$A$2:$D$501,4,FALSE)/1000</f>
        <v>990.059</v>
      </c>
      <c r="H478" s="43">
        <f>ROUND(E478*VLOOKUP(C478,'Задание 2 (Справочник)'!$B$16:$C$18,2,FALSE),0)</f>
        <v>195</v>
      </c>
      <c r="I478" s="43">
        <f t="shared" si="2"/>
        <v>496.98</v>
      </c>
    </row>
    <row r="479" ht="13.5" customHeight="1">
      <c r="A479" s="1" t="s">
        <v>585</v>
      </c>
      <c r="B479" s="1" t="s">
        <v>78</v>
      </c>
      <c r="C479" s="41" t="str">
        <f t="shared" si="1"/>
        <v>Маленький</v>
      </c>
      <c r="D479" s="42">
        <f>VLOOKUP(A479,'Задание 2 (Известные данные)'!$A$2:$D$501,2,FALSE)</f>
        <v>98765</v>
      </c>
      <c r="E479" s="43">
        <f>ROUND(D479*VLOOKUP(B479,'Задание 2 (Справочник)'!$B$8:$D$12,2,FALSE)/(1-VLOOKUP(B479,'Задание 2 (Справочник)'!$B$8:$D$12,3,FALSE)),0)</f>
        <v>82304</v>
      </c>
      <c r="F479" s="43">
        <f>VLOOKUP(A479,'Задание 2 (Известные данные)'!$A$2:$D$501,3,FALSE)</f>
        <v>62222</v>
      </c>
      <c r="G479" s="37">
        <f>F479*VLOOKUP(A479,'Задание 2 (Известные данные)'!$A$2:$D$501,4,FALSE)/1000</f>
        <v>7279.974</v>
      </c>
      <c r="H479" s="43">
        <f>ROUND(E479*VLOOKUP(C479,'Задание 2 (Справочник)'!$B$16:$C$18,2,FALSE),0)</f>
        <v>823</v>
      </c>
      <c r="I479" s="43">
        <f t="shared" si="2"/>
        <v>3648.22</v>
      </c>
    </row>
    <row r="480" ht="13.5" customHeight="1">
      <c r="A480" s="1" t="s">
        <v>586</v>
      </c>
      <c r="B480" s="1" t="s">
        <v>78</v>
      </c>
      <c r="C480" s="41" t="str">
        <f t="shared" si="1"/>
        <v>Маленький</v>
      </c>
      <c r="D480" s="42">
        <f>VLOOKUP(A480,'Задание 2 (Известные данные)'!$A$2:$D$501,2,FALSE)</f>
        <v>34567</v>
      </c>
      <c r="E480" s="43">
        <f>ROUND(D480*VLOOKUP(B480,'Задание 2 (Справочник)'!$B$8:$D$12,2,FALSE)/(1-VLOOKUP(B480,'Задание 2 (Справочник)'!$B$8:$D$12,3,FALSE)),0)</f>
        <v>28806</v>
      </c>
      <c r="F480" s="43">
        <f>VLOOKUP(A480,'Задание 2 (Известные данные)'!$A$2:$D$501,3,FALSE)</f>
        <v>21777</v>
      </c>
      <c r="G480" s="37">
        <f>F480*VLOOKUP(A480,'Задание 2 (Известные данные)'!$A$2:$D$501,4,FALSE)/1000</f>
        <v>2025.261</v>
      </c>
      <c r="H480" s="43">
        <f>ROUND(E480*VLOOKUP(C480,'Задание 2 (Справочник)'!$B$16:$C$18,2,FALSE),0)</f>
        <v>288</v>
      </c>
      <c r="I480" s="43">
        <f t="shared" si="2"/>
        <v>1015.51</v>
      </c>
    </row>
    <row r="481" ht="13.5" customHeight="1">
      <c r="A481" s="1" t="s">
        <v>587</v>
      </c>
      <c r="B481" s="1" t="s">
        <v>78</v>
      </c>
      <c r="C481" s="41" t="str">
        <f t="shared" si="1"/>
        <v>Маленький</v>
      </c>
      <c r="D481" s="42">
        <f>VLOOKUP(A481,'Задание 2 (Известные данные)'!$A$2:$D$501,2,FALSE)</f>
        <v>65432</v>
      </c>
      <c r="E481" s="43">
        <f>ROUND(D481*VLOOKUP(B481,'Задание 2 (Справочник)'!$B$8:$D$12,2,FALSE)/(1-VLOOKUP(B481,'Задание 2 (Справочник)'!$B$8:$D$12,3,FALSE)),0)</f>
        <v>54527</v>
      </c>
      <c r="F481" s="43">
        <f>VLOOKUP(A481,'Задание 2 (Известные данные)'!$A$2:$D$501,3,FALSE)</f>
        <v>41222</v>
      </c>
      <c r="G481" s="37">
        <f>F481*VLOOKUP(A481,'Задание 2 (Известные данные)'!$A$2:$D$501,4,FALSE)/1000</f>
        <v>4245.866</v>
      </c>
      <c r="H481" s="43">
        <f>ROUND(E481*VLOOKUP(C481,'Задание 2 (Справочник)'!$B$16:$C$18,2,FALSE),0)</f>
        <v>545</v>
      </c>
      <c r="I481" s="43">
        <f t="shared" si="2"/>
        <v>2128.38</v>
      </c>
    </row>
    <row r="482" ht="13.5" customHeight="1">
      <c r="A482" s="1" t="s">
        <v>588</v>
      </c>
      <c r="B482" s="1" t="s">
        <v>78</v>
      </c>
      <c r="C482" s="41" t="str">
        <f t="shared" si="1"/>
        <v>Маленький</v>
      </c>
      <c r="D482" s="42">
        <f>VLOOKUP(A482,'Задание 2 (Известные данные)'!$A$2:$D$501,2,FALSE)</f>
        <v>12345</v>
      </c>
      <c r="E482" s="43">
        <f>ROUND(D482*VLOOKUP(B482,'Задание 2 (Справочник)'!$B$8:$D$12,2,FALSE)/(1-VLOOKUP(B482,'Задание 2 (Справочник)'!$B$8:$D$12,3,FALSE)),0)</f>
        <v>10288</v>
      </c>
      <c r="F482" s="43">
        <f>VLOOKUP(A482,'Задание 2 (Известные данные)'!$A$2:$D$501,3,FALSE)</f>
        <v>7778</v>
      </c>
      <c r="G482" s="37">
        <f>F482*VLOOKUP(A482,'Задание 2 (Известные данные)'!$A$2:$D$501,4,FALSE)/1000</f>
        <v>474.458</v>
      </c>
      <c r="H482" s="43">
        <f>ROUND(E482*VLOOKUP(C482,'Задание 2 (Справочник)'!$B$16:$C$18,2,FALSE),0)</f>
        <v>103</v>
      </c>
      <c r="I482" s="43">
        <f t="shared" si="2"/>
        <v>238.26</v>
      </c>
    </row>
    <row r="483" ht="13.5" customHeight="1">
      <c r="A483" s="1" t="s">
        <v>589</v>
      </c>
      <c r="B483" s="1" t="s">
        <v>78</v>
      </c>
      <c r="C483" s="41" t="str">
        <f t="shared" si="1"/>
        <v>Маленький</v>
      </c>
      <c r="D483" s="42">
        <f>VLOOKUP(A483,'Задание 2 (Известные данные)'!$A$2:$D$501,2,FALSE)</f>
        <v>76543</v>
      </c>
      <c r="E483" s="43">
        <f>ROUND(D483*VLOOKUP(B483,'Задание 2 (Справочник)'!$B$8:$D$12,2,FALSE)/(1-VLOOKUP(B483,'Задание 2 (Справочник)'!$B$8:$D$12,3,FALSE)),0)</f>
        <v>63786</v>
      </c>
      <c r="F483" s="43">
        <f>VLOOKUP(A483,'Задание 2 (Известные данные)'!$A$2:$D$501,3,FALSE)</f>
        <v>48222</v>
      </c>
      <c r="G483" s="37">
        <f>F483*VLOOKUP(A483,'Задание 2 (Известные данные)'!$A$2:$D$501,4,FALSE)/1000</f>
        <v>5256.198</v>
      </c>
      <c r="H483" s="43">
        <f>ROUND(E483*VLOOKUP(C483,'Задание 2 (Справочник)'!$B$16:$C$18,2,FALSE),0)</f>
        <v>638</v>
      </c>
      <c r="I483" s="43">
        <f t="shared" si="2"/>
        <v>2634.48</v>
      </c>
    </row>
    <row r="484" ht="13.5" customHeight="1">
      <c r="A484" s="1" t="s">
        <v>590</v>
      </c>
      <c r="B484" s="1" t="s">
        <v>78</v>
      </c>
      <c r="C484" s="41" t="str">
        <f t="shared" si="1"/>
        <v>Маленький</v>
      </c>
      <c r="D484" s="42">
        <f>VLOOKUP(A484,'Задание 2 (Известные данные)'!$A$2:$D$501,2,FALSE)</f>
        <v>43210</v>
      </c>
      <c r="E484" s="43">
        <f>ROUND(D484*VLOOKUP(B484,'Задание 2 (Справочник)'!$B$8:$D$12,2,FALSE)/(1-VLOOKUP(B484,'Задание 2 (Справочник)'!$B$8:$D$12,3,FALSE)),0)</f>
        <v>36008</v>
      </c>
      <c r="F484" s="43">
        <f>VLOOKUP(A484,'Задание 2 (Известные данные)'!$A$2:$D$501,3,FALSE)</f>
        <v>27222</v>
      </c>
      <c r="G484" s="37">
        <f>F484*VLOOKUP(A484,'Задание 2 (Известные данные)'!$A$2:$D$501,4,FALSE)/1000</f>
        <v>2449.98</v>
      </c>
      <c r="H484" s="43">
        <f>ROUND(E484*VLOOKUP(C484,'Задание 2 (Справочник)'!$B$16:$C$18,2,FALSE),0)</f>
        <v>360</v>
      </c>
      <c r="I484" s="43">
        <f t="shared" si="2"/>
        <v>1228.59</v>
      </c>
    </row>
    <row r="485" ht="13.5" customHeight="1">
      <c r="A485" s="1" t="s">
        <v>591</v>
      </c>
      <c r="B485" s="1" t="s">
        <v>78</v>
      </c>
      <c r="C485" s="41" t="str">
        <f t="shared" si="1"/>
        <v>Маленький</v>
      </c>
      <c r="D485" s="42">
        <f>VLOOKUP(A485,'Задание 2 (Известные данные)'!$A$2:$D$501,2,FALSE)</f>
        <v>56789</v>
      </c>
      <c r="E485" s="43">
        <f>ROUND(D485*VLOOKUP(B485,'Задание 2 (Справочник)'!$B$8:$D$12,2,FALSE)/(1-VLOOKUP(B485,'Задание 2 (Справочник)'!$B$8:$D$12,3,FALSE)),0)</f>
        <v>47324</v>
      </c>
      <c r="F485" s="43">
        <f>VLOOKUP(A485,'Задание 2 (Известные данные)'!$A$2:$D$501,3,FALSE)</f>
        <v>35777</v>
      </c>
      <c r="G485" s="37">
        <f>F485*VLOOKUP(A485,'Задание 2 (Известные данные)'!$A$2:$D$501,4,FALSE)/1000</f>
        <v>3005.268</v>
      </c>
      <c r="H485" s="43">
        <f>ROUND(E485*VLOOKUP(C485,'Задание 2 (Справочник)'!$B$16:$C$18,2,FALSE),0)</f>
        <v>473</v>
      </c>
      <c r="I485" s="43">
        <f t="shared" si="2"/>
        <v>1507.36</v>
      </c>
    </row>
    <row r="486" ht="13.5" customHeight="1">
      <c r="A486" s="1" t="s">
        <v>592</v>
      </c>
      <c r="B486" s="1" t="s">
        <v>78</v>
      </c>
      <c r="C486" s="41" t="str">
        <f t="shared" si="1"/>
        <v>Маленький</v>
      </c>
      <c r="D486" s="42">
        <f>VLOOKUP(A486,'Задание 2 (Известные данные)'!$A$2:$D$501,2,FALSE)</f>
        <v>87654</v>
      </c>
      <c r="E486" s="43">
        <f>ROUND(D486*VLOOKUP(B486,'Задание 2 (Справочник)'!$B$8:$D$12,2,FALSE)/(1-VLOOKUP(B486,'Задание 2 (Справочник)'!$B$8:$D$12,3,FALSE)),0)</f>
        <v>73045</v>
      </c>
      <c r="F486" s="43">
        <f>VLOOKUP(A486,'Задание 2 (Известные данные)'!$A$2:$D$501,3,FALSE)</f>
        <v>55222</v>
      </c>
      <c r="G486" s="37">
        <f>F486*VLOOKUP(A486,'Задание 2 (Известные данные)'!$A$2:$D$501,4,FALSE)/1000</f>
        <v>6240.086</v>
      </c>
      <c r="H486" s="43">
        <f>ROUND(E486*VLOOKUP(C486,'Задание 2 (Справочник)'!$B$16:$C$18,2,FALSE),0)</f>
        <v>730</v>
      </c>
      <c r="I486" s="43">
        <f t="shared" si="2"/>
        <v>3127.34</v>
      </c>
    </row>
    <row r="487" ht="13.5" customHeight="1">
      <c r="A487" s="1" t="s">
        <v>593</v>
      </c>
      <c r="B487" s="1" t="s">
        <v>78</v>
      </c>
      <c r="C487" s="41" t="str">
        <f t="shared" si="1"/>
        <v>Маленький</v>
      </c>
      <c r="D487" s="42">
        <f>VLOOKUP(A487,'Задание 2 (Известные данные)'!$A$2:$D$501,2,FALSE)</f>
        <v>23456</v>
      </c>
      <c r="E487" s="43">
        <f>ROUND(D487*VLOOKUP(B487,'Задание 2 (Справочник)'!$B$8:$D$12,2,FALSE)/(1-VLOOKUP(B487,'Задание 2 (Справочник)'!$B$8:$D$12,3,FALSE)),0)</f>
        <v>19547</v>
      </c>
      <c r="F487" s="43">
        <f>VLOOKUP(A487,'Задание 2 (Известные данные)'!$A$2:$D$501,3,FALSE)</f>
        <v>14777</v>
      </c>
      <c r="G487" s="37">
        <f>F487*VLOOKUP(A487,'Задание 2 (Известные данные)'!$A$2:$D$501,4,FALSE)/1000</f>
        <v>975.282</v>
      </c>
      <c r="H487" s="43">
        <f>ROUND(E487*VLOOKUP(C487,'Задание 2 (Справочник)'!$B$16:$C$18,2,FALSE),0)</f>
        <v>195</v>
      </c>
      <c r="I487" s="43">
        <f t="shared" si="2"/>
        <v>489.59</v>
      </c>
    </row>
    <row r="488" ht="13.5" customHeight="1">
      <c r="A488" s="1" t="s">
        <v>594</v>
      </c>
      <c r="B488" s="1" t="s">
        <v>78</v>
      </c>
      <c r="C488" s="41" t="str">
        <f t="shared" si="1"/>
        <v>Маленький</v>
      </c>
      <c r="D488" s="42">
        <f>VLOOKUP(A488,'Задание 2 (Известные данные)'!$A$2:$D$501,2,FALSE)</f>
        <v>98765</v>
      </c>
      <c r="E488" s="43">
        <f>ROUND(D488*VLOOKUP(B488,'Задание 2 (Справочник)'!$B$8:$D$12,2,FALSE)/(1-VLOOKUP(B488,'Задание 2 (Справочник)'!$B$8:$D$12,3,FALSE)),0)</f>
        <v>82304</v>
      </c>
      <c r="F488" s="43">
        <f>VLOOKUP(A488,'Задание 2 (Известные данные)'!$A$2:$D$501,3,FALSE)</f>
        <v>62222</v>
      </c>
      <c r="G488" s="37">
        <f>F488*VLOOKUP(A488,'Задание 2 (Известные данные)'!$A$2:$D$501,4,FALSE)/1000</f>
        <v>7342.196</v>
      </c>
      <c r="H488" s="43">
        <f>ROUND(E488*VLOOKUP(C488,'Задание 2 (Справочник)'!$B$16:$C$18,2,FALSE),0)</f>
        <v>823</v>
      </c>
      <c r="I488" s="43">
        <f t="shared" si="2"/>
        <v>3679.33</v>
      </c>
    </row>
    <row r="489" ht="13.5" customHeight="1">
      <c r="A489" s="1" t="s">
        <v>595</v>
      </c>
      <c r="B489" s="1" t="s">
        <v>78</v>
      </c>
      <c r="C489" s="41" t="str">
        <f t="shared" si="1"/>
        <v>Маленький</v>
      </c>
      <c r="D489" s="42">
        <f>VLOOKUP(A489,'Задание 2 (Известные данные)'!$A$2:$D$501,2,FALSE)</f>
        <v>34567</v>
      </c>
      <c r="E489" s="43">
        <f>ROUND(D489*VLOOKUP(B489,'Задание 2 (Справочник)'!$B$8:$D$12,2,FALSE)/(1-VLOOKUP(B489,'Задание 2 (Справочник)'!$B$8:$D$12,3,FALSE)),0)</f>
        <v>28806</v>
      </c>
      <c r="F489" s="43">
        <f>VLOOKUP(A489,'Задание 2 (Известные данные)'!$A$2:$D$501,3,FALSE)</f>
        <v>21777</v>
      </c>
      <c r="G489" s="37">
        <f>F489*VLOOKUP(A489,'Задание 2 (Известные данные)'!$A$2:$D$501,4,FALSE)/1000</f>
        <v>2047.038</v>
      </c>
      <c r="H489" s="43">
        <f>ROUND(E489*VLOOKUP(C489,'Задание 2 (Справочник)'!$B$16:$C$18,2,FALSE),0)</f>
        <v>288</v>
      </c>
      <c r="I489" s="43">
        <f t="shared" si="2"/>
        <v>1026.4</v>
      </c>
    </row>
    <row r="490" ht="13.5" customHeight="1">
      <c r="A490" s="1" t="s">
        <v>596</v>
      </c>
      <c r="B490" s="1" t="s">
        <v>78</v>
      </c>
      <c r="C490" s="41" t="str">
        <f t="shared" si="1"/>
        <v>Маленький</v>
      </c>
      <c r="D490" s="42">
        <f>VLOOKUP(A490,'Задание 2 (Известные данные)'!$A$2:$D$501,2,FALSE)</f>
        <v>65432</v>
      </c>
      <c r="E490" s="43">
        <f>ROUND(D490*VLOOKUP(B490,'Задание 2 (Справочник)'!$B$8:$D$12,2,FALSE)/(1-VLOOKUP(B490,'Задание 2 (Справочник)'!$B$8:$D$12,3,FALSE)),0)</f>
        <v>54527</v>
      </c>
      <c r="F490" s="43">
        <f>VLOOKUP(A490,'Задание 2 (Известные данные)'!$A$2:$D$501,3,FALSE)</f>
        <v>41222</v>
      </c>
      <c r="G490" s="37">
        <f>F490*VLOOKUP(A490,'Задание 2 (Известные данные)'!$A$2:$D$501,4,FALSE)/1000</f>
        <v>4287.088</v>
      </c>
      <c r="H490" s="43">
        <f>ROUND(E490*VLOOKUP(C490,'Задание 2 (Справочник)'!$B$16:$C$18,2,FALSE),0)</f>
        <v>545</v>
      </c>
      <c r="I490" s="43">
        <f t="shared" si="2"/>
        <v>2148.99</v>
      </c>
    </row>
    <row r="491" ht="13.5" customHeight="1">
      <c r="A491" s="1" t="s">
        <v>597</v>
      </c>
      <c r="B491" s="1" t="s">
        <v>78</v>
      </c>
      <c r="C491" s="41" t="str">
        <f t="shared" si="1"/>
        <v>Маленький</v>
      </c>
      <c r="D491" s="42">
        <f>VLOOKUP(A491,'Задание 2 (Известные данные)'!$A$2:$D$501,2,FALSE)</f>
        <v>12345</v>
      </c>
      <c r="E491" s="43">
        <f>ROUND(D491*VLOOKUP(B491,'Задание 2 (Справочник)'!$B$8:$D$12,2,FALSE)/(1-VLOOKUP(B491,'Задание 2 (Справочник)'!$B$8:$D$12,3,FALSE)),0)</f>
        <v>10288</v>
      </c>
      <c r="F491" s="43">
        <f>VLOOKUP(A491,'Задание 2 (Известные данные)'!$A$2:$D$501,3,FALSE)</f>
        <v>7778</v>
      </c>
      <c r="G491" s="37">
        <f>F491*VLOOKUP(A491,'Задание 2 (Известные данные)'!$A$2:$D$501,4,FALSE)/1000</f>
        <v>466.68</v>
      </c>
      <c r="H491" s="43">
        <f>ROUND(E491*VLOOKUP(C491,'Задание 2 (Справочник)'!$B$16:$C$18,2,FALSE),0)</f>
        <v>103</v>
      </c>
      <c r="I491" s="43">
        <f t="shared" si="2"/>
        <v>234.37</v>
      </c>
    </row>
    <row r="492" ht="13.5" customHeight="1">
      <c r="A492" s="1" t="s">
        <v>598</v>
      </c>
      <c r="B492" s="1" t="s">
        <v>78</v>
      </c>
      <c r="C492" s="41" t="str">
        <f t="shared" si="1"/>
        <v>Маленький</v>
      </c>
      <c r="D492" s="42">
        <f>VLOOKUP(A492,'Задание 2 (Известные данные)'!$A$2:$D$501,2,FALSE)</f>
        <v>76543</v>
      </c>
      <c r="E492" s="43">
        <f>ROUND(D492*VLOOKUP(B492,'Задание 2 (Справочник)'!$B$8:$D$12,2,FALSE)/(1-VLOOKUP(B492,'Задание 2 (Справочник)'!$B$8:$D$12,3,FALSE)),0)</f>
        <v>63786</v>
      </c>
      <c r="F492" s="43">
        <f>VLOOKUP(A492,'Задание 2 (Известные данные)'!$A$2:$D$501,3,FALSE)</f>
        <v>48222</v>
      </c>
      <c r="G492" s="37">
        <f>F492*VLOOKUP(A492,'Задание 2 (Известные данные)'!$A$2:$D$501,4,FALSE)/1000</f>
        <v>5304.42</v>
      </c>
      <c r="H492" s="43">
        <f>ROUND(E492*VLOOKUP(C492,'Задание 2 (Справочник)'!$B$16:$C$18,2,FALSE),0)</f>
        <v>638</v>
      </c>
      <c r="I492" s="43">
        <f t="shared" si="2"/>
        <v>2658.59</v>
      </c>
    </row>
    <row r="493" ht="13.5" customHeight="1">
      <c r="A493" s="1" t="s">
        <v>599</v>
      </c>
      <c r="B493" s="1" t="s">
        <v>78</v>
      </c>
      <c r="C493" s="41" t="str">
        <f t="shared" si="1"/>
        <v>Маленький</v>
      </c>
      <c r="D493" s="42">
        <f>VLOOKUP(A493,'Задание 2 (Известные данные)'!$A$2:$D$501,2,FALSE)</f>
        <v>43210</v>
      </c>
      <c r="E493" s="43">
        <f>ROUND(D493*VLOOKUP(B493,'Задание 2 (Справочник)'!$B$8:$D$12,2,FALSE)/(1-VLOOKUP(B493,'Задание 2 (Справочник)'!$B$8:$D$12,3,FALSE)),0)</f>
        <v>36008</v>
      </c>
      <c r="F493" s="43">
        <f>VLOOKUP(A493,'Задание 2 (Известные данные)'!$A$2:$D$501,3,FALSE)</f>
        <v>27222</v>
      </c>
      <c r="G493" s="37">
        <f>F493*VLOOKUP(A493,'Задание 2 (Известные данные)'!$A$2:$D$501,4,FALSE)/1000</f>
        <v>2477.202</v>
      </c>
      <c r="H493" s="43">
        <f>ROUND(E493*VLOOKUP(C493,'Задание 2 (Справочник)'!$B$16:$C$18,2,FALSE),0)</f>
        <v>360</v>
      </c>
      <c r="I493" s="43">
        <f t="shared" si="2"/>
        <v>1242.2</v>
      </c>
    </row>
    <row r="494" ht="13.5" customHeight="1">
      <c r="A494" s="1" t="s">
        <v>600</v>
      </c>
      <c r="B494" s="1" t="s">
        <v>78</v>
      </c>
      <c r="C494" s="41" t="str">
        <f t="shared" si="1"/>
        <v>Маленький</v>
      </c>
      <c r="D494" s="42">
        <f>VLOOKUP(A494,'Задание 2 (Известные данные)'!$A$2:$D$501,2,FALSE)</f>
        <v>56789</v>
      </c>
      <c r="E494" s="43">
        <f>ROUND(D494*VLOOKUP(B494,'Задание 2 (Справочник)'!$B$8:$D$12,2,FALSE)/(1-VLOOKUP(B494,'Задание 2 (Справочник)'!$B$8:$D$12,3,FALSE)),0)</f>
        <v>47324</v>
      </c>
      <c r="F494" s="43">
        <f>VLOOKUP(A494,'Задание 2 (Известные данные)'!$A$2:$D$501,3,FALSE)</f>
        <v>35777</v>
      </c>
      <c r="G494" s="37">
        <f>F494*VLOOKUP(A494,'Задание 2 (Известные данные)'!$A$2:$D$501,4,FALSE)/1000</f>
        <v>2969.491</v>
      </c>
      <c r="H494" s="43">
        <f>ROUND(E494*VLOOKUP(C494,'Задание 2 (Справочник)'!$B$16:$C$18,2,FALSE),0)</f>
        <v>473</v>
      </c>
      <c r="I494" s="43">
        <f t="shared" si="2"/>
        <v>1489.48</v>
      </c>
    </row>
    <row r="495" ht="13.5" customHeight="1">
      <c r="A495" s="1" t="s">
        <v>601</v>
      </c>
      <c r="B495" s="1" t="s">
        <v>78</v>
      </c>
      <c r="C495" s="41" t="str">
        <f t="shared" si="1"/>
        <v>Маленький</v>
      </c>
      <c r="D495" s="42">
        <f>VLOOKUP(A495,'Задание 2 (Известные данные)'!$A$2:$D$501,2,FALSE)</f>
        <v>87654</v>
      </c>
      <c r="E495" s="43">
        <f>ROUND(D495*VLOOKUP(B495,'Задание 2 (Справочник)'!$B$8:$D$12,2,FALSE)/(1-VLOOKUP(B495,'Задание 2 (Справочник)'!$B$8:$D$12,3,FALSE)),0)</f>
        <v>73045</v>
      </c>
      <c r="F495" s="43">
        <f>VLOOKUP(A495,'Задание 2 (Известные данные)'!$A$2:$D$501,3,FALSE)</f>
        <v>55222</v>
      </c>
      <c r="G495" s="37">
        <f>F495*VLOOKUP(A495,'Задание 2 (Известные данные)'!$A$2:$D$501,4,FALSE)/1000</f>
        <v>6295.308</v>
      </c>
      <c r="H495" s="43">
        <f>ROUND(E495*VLOOKUP(C495,'Задание 2 (Справочник)'!$B$16:$C$18,2,FALSE),0)</f>
        <v>730</v>
      </c>
      <c r="I495" s="43">
        <f t="shared" si="2"/>
        <v>3154.95</v>
      </c>
    </row>
    <row r="496" ht="13.5" customHeight="1">
      <c r="A496" s="1" t="s">
        <v>602</v>
      </c>
      <c r="B496" s="1" t="s">
        <v>78</v>
      </c>
      <c r="C496" s="41" t="str">
        <f t="shared" si="1"/>
        <v>Маленький</v>
      </c>
      <c r="D496" s="42">
        <f>VLOOKUP(A496,'Задание 2 (Известные данные)'!$A$2:$D$501,2,FALSE)</f>
        <v>23456</v>
      </c>
      <c r="E496" s="43">
        <f>ROUND(D496*VLOOKUP(B496,'Задание 2 (Справочник)'!$B$8:$D$12,2,FALSE)/(1-VLOOKUP(B496,'Задание 2 (Справочник)'!$B$8:$D$12,3,FALSE)),0)</f>
        <v>19547</v>
      </c>
      <c r="F496" s="43">
        <f>VLOOKUP(A496,'Задание 2 (Известные данные)'!$A$2:$D$501,3,FALSE)</f>
        <v>14777</v>
      </c>
      <c r="G496" s="37">
        <f>F496*VLOOKUP(A496,'Задание 2 (Известные данные)'!$A$2:$D$501,4,FALSE)/1000</f>
        <v>960.505</v>
      </c>
      <c r="H496" s="43">
        <f>ROUND(E496*VLOOKUP(C496,'Задание 2 (Справочник)'!$B$16:$C$18,2,FALSE),0)</f>
        <v>195</v>
      </c>
      <c r="I496" s="43">
        <f t="shared" si="2"/>
        <v>482.2</v>
      </c>
    </row>
    <row r="497" ht="13.5" customHeight="1">
      <c r="A497" s="1" t="s">
        <v>603</v>
      </c>
      <c r="B497" s="1" t="s">
        <v>78</v>
      </c>
      <c r="C497" s="41" t="str">
        <f t="shared" si="1"/>
        <v>Маленький</v>
      </c>
      <c r="D497" s="42">
        <f>VLOOKUP(A497,'Задание 2 (Известные данные)'!$A$2:$D$501,2,FALSE)</f>
        <v>98765</v>
      </c>
      <c r="E497" s="43">
        <f>ROUND(D497*VLOOKUP(B497,'Задание 2 (Справочник)'!$B$8:$D$12,2,FALSE)/(1-VLOOKUP(B497,'Задание 2 (Справочник)'!$B$8:$D$12,3,FALSE)),0)</f>
        <v>82304</v>
      </c>
      <c r="F497" s="43">
        <f>VLOOKUP(A497,'Задание 2 (Известные данные)'!$A$2:$D$501,3,FALSE)</f>
        <v>62222</v>
      </c>
      <c r="G497" s="37">
        <f>F497*VLOOKUP(A497,'Задание 2 (Известные данные)'!$A$2:$D$501,4,FALSE)/1000</f>
        <v>7404.418</v>
      </c>
      <c r="H497" s="43">
        <f>ROUND(E497*VLOOKUP(C497,'Задание 2 (Справочник)'!$B$16:$C$18,2,FALSE),0)</f>
        <v>823</v>
      </c>
      <c r="I497" s="43">
        <f t="shared" si="2"/>
        <v>3710.44</v>
      </c>
    </row>
    <row r="498" ht="13.5" customHeight="1">
      <c r="A498" s="1" t="s">
        <v>604</v>
      </c>
      <c r="B498" s="1" t="s">
        <v>78</v>
      </c>
      <c r="C498" s="41" t="str">
        <f t="shared" si="1"/>
        <v>Маленький</v>
      </c>
      <c r="D498" s="42">
        <f>VLOOKUP(A498,'Задание 2 (Известные данные)'!$A$2:$D$501,2,FALSE)</f>
        <v>34567</v>
      </c>
      <c r="E498" s="43">
        <f>ROUND(D498*VLOOKUP(B498,'Задание 2 (Справочник)'!$B$8:$D$12,2,FALSE)/(1-VLOOKUP(B498,'Задание 2 (Справочник)'!$B$8:$D$12,3,FALSE)),0)</f>
        <v>28806</v>
      </c>
      <c r="F498" s="43">
        <f>VLOOKUP(A498,'Задание 2 (Известные данные)'!$A$2:$D$501,3,FALSE)</f>
        <v>21777</v>
      </c>
      <c r="G498" s="37">
        <f>F498*VLOOKUP(A498,'Задание 2 (Известные данные)'!$A$2:$D$501,4,FALSE)/1000</f>
        <v>2068.815</v>
      </c>
      <c r="H498" s="43">
        <f>ROUND(E498*VLOOKUP(C498,'Задание 2 (Справочник)'!$B$16:$C$18,2,FALSE),0)</f>
        <v>288</v>
      </c>
      <c r="I498" s="43">
        <f t="shared" si="2"/>
        <v>1037.29</v>
      </c>
    </row>
    <row r="499" ht="13.5" customHeight="1">
      <c r="A499" s="1" t="s">
        <v>605</v>
      </c>
      <c r="B499" s="1" t="s">
        <v>78</v>
      </c>
      <c r="C499" s="41" t="str">
        <f t="shared" si="1"/>
        <v>Маленький</v>
      </c>
      <c r="D499" s="42">
        <f>VLOOKUP(A499,'Задание 2 (Известные данные)'!$A$2:$D$501,2,FALSE)</f>
        <v>65432</v>
      </c>
      <c r="E499" s="43">
        <f>ROUND(D499*VLOOKUP(B499,'Задание 2 (Справочник)'!$B$8:$D$12,2,FALSE)/(1-VLOOKUP(B499,'Задание 2 (Справочник)'!$B$8:$D$12,3,FALSE)),0)</f>
        <v>54527</v>
      </c>
      <c r="F499" s="43">
        <f>VLOOKUP(A499,'Задание 2 (Известные данные)'!$A$2:$D$501,3,FALSE)</f>
        <v>41222</v>
      </c>
      <c r="G499" s="37">
        <f>F499*VLOOKUP(A499,'Задание 2 (Известные данные)'!$A$2:$D$501,4,FALSE)/1000</f>
        <v>4328.31</v>
      </c>
      <c r="H499" s="43">
        <f>ROUND(E499*VLOOKUP(C499,'Задание 2 (Справочник)'!$B$16:$C$18,2,FALSE),0)</f>
        <v>545</v>
      </c>
      <c r="I499" s="43">
        <f t="shared" si="2"/>
        <v>2169.61</v>
      </c>
    </row>
    <row r="500" ht="13.5" customHeight="1">
      <c r="A500" s="1" t="s">
        <v>606</v>
      </c>
      <c r="B500" s="1" t="s">
        <v>78</v>
      </c>
      <c r="C500" s="41" t="str">
        <f t="shared" si="1"/>
        <v>Маленький</v>
      </c>
      <c r="D500" s="42">
        <f>VLOOKUP(A500,'Задание 2 (Известные данные)'!$A$2:$D$501,2,FALSE)</f>
        <v>12345</v>
      </c>
      <c r="E500" s="43">
        <f>ROUND(D500*VLOOKUP(B500,'Задание 2 (Справочник)'!$B$8:$D$12,2,FALSE)/(1-VLOOKUP(B500,'Задание 2 (Справочник)'!$B$8:$D$12,3,FALSE)),0)</f>
        <v>10288</v>
      </c>
      <c r="F500" s="43">
        <f>VLOOKUP(A500,'Задание 2 (Известные данные)'!$A$2:$D$501,3,FALSE)</f>
        <v>7778</v>
      </c>
      <c r="G500" s="37">
        <f>F500*VLOOKUP(A500,'Задание 2 (Известные данные)'!$A$2:$D$501,4,FALSE)/1000</f>
        <v>458.902</v>
      </c>
      <c r="H500" s="43">
        <f>ROUND(E500*VLOOKUP(C500,'Задание 2 (Справочник)'!$B$16:$C$18,2,FALSE),0)</f>
        <v>103</v>
      </c>
      <c r="I500" s="43">
        <f t="shared" si="2"/>
        <v>230.48</v>
      </c>
    </row>
    <row r="501" ht="13.5" customHeight="1">
      <c r="A501" s="1" t="s">
        <v>607</v>
      </c>
      <c r="B501" s="1" t="s">
        <v>78</v>
      </c>
      <c r="C501" s="41" t="str">
        <f t="shared" si="1"/>
        <v>Маленький</v>
      </c>
      <c r="D501" s="42">
        <f>VLOOKUP(A501,'Задание 2 (Известные данные)'!$A$2:$D$501,2,FALSE)</f>
        <v>76543</v>
      </c>
      <c r="E501" s="43">
        <f>ROUND(D501*VLOOKUP(B501,'Задание 2 (Справочник)'!$B$8:$D$12,2,FALSE)/(1-VLOOKUP(B501,'Задание 2 (Справочник)'!$B$8:$D$12,3,FALSE)),0)</f>
        <v>63786</v>
      </c>
      <c r="F501" s="43">
        <f>VLOOKUP(A501,'Задание 2 (Известные данные)'!$A$2:$D$501,3,FALSE)</f>
        <v>48222</v>
      </c>
      <c r="G501" s="37">
        <f>F501*VLOOKUP(A501,'Задание 2 (Известные данные)'!$A$2:$D$501,4,FALSE)/1000</f>
        <v>5352.642</v>
      </c>
      <c r="H501" s="43">
        <f>ROUND(E501*VLOOKUP(C501,'Задание 2 (Справочник)'!$B$16:$C$18,2,FALSE),0)</f>
        <v>638</v>
      </c>
      <c r="I501" s="43">
        <f t="shared" si="2"/>
        <v>2682.7</v>
      </c>
    </row>
    <row r="502" ht="13.5" customHeight="1">
      <c r="A502" s="1" t="s">
        <v>608</v>
      </c>
      <c r="B502" s="1" t="s">
        <v>78</v>
      </c>
      <c r="C502" s="41" t="str">
        <f t="shared" si="1"/>
        <v>Маленький</v>
      </c>
      <c r="D502" s="42">
        <f>VLOOKUP(A502,'Задание 2 (Известные данные)'!$A$2:$D$501,2,FALSE)</f>
        <v>43210</v>
      </c>
      <c r="E502" s="43">
        <f>ROUND(D502*VLOOKUP(B502,'Задание 2 (Справочник)'!$B$8:$D$12,2,FALSE)/(1-VLOOKUP(B502,'Задание 2 (Справочник)'!$B$8:$D$12,3,FALSE)),0)</f>
        <v>36008</v>
      </c>
      <c r="F502" s="43">
        <f>VLOOKUP(A502,'Задание 2 (Известные данные)'!$A$2:$D$501,3,FALSE)</f>
        <v>27222</v>
      </c>
      <c r="G502" s="37">
        <f>F502*VLOOKUP(A502,'Задание 2 (Известные данные)'!$A$2:$D$501,4,FALSE)/1000</f>
        <v>2504.424</v>
      </c>
      <c r="H502" s="43">
        <f>ROUND(E502*VLOOKUP(C502,'Задание 2 (Справочник)'!$B$16:$C$18,2,FALSE),0)</f>
        <v>360</v>
      </c>
      <c r="I502" s="43">
        <f t="shared" si="2"/>
        <v>1255.81</v>
      </c>
    </row>
    <row r="503" ht="13.5" customHeight="1">
      <c r="B503" s="1"/>
      <c r="C503" s="1"/>
      <c r="D503" s="1"/>
      <c r="E503" s="1"/>
      <c r="F503" s="1"/>
      <c r="G503" s="1"/>
      <c r="H503" s="1"/>
      <c r="I503" s="1"/>
    </row>
    <row r="504" ht="13.5" customHeight="1">
      <c r="B504" s="1"/>
      <c r="C504" s="1"/>
      <c r="D504" s="1"/>
      <c r="E504" s="1"/>
      <c r="F504" s="1"/>
      <c r="G504" s="1"/>
      <c r="H504" s="1"/>
      <c r="I504" s="1"/>
    </row>
    <row r="505" ht="13.5" customHeight="1">
      <c r="B505" s="1"/>
      <c r="C505" s="1"/>
      <c r="D505" s="1"/>
      <c r="E505" s="1"/>
      <c r="F505" s="1"/>
      <c r="G505" s="1"/>
      <c r="H505" s="1"/>
      <c r="I505" s="1"/>
    </row>
    <row r="506" ht="13.5" customHeight="1">
      <c r="B506" s="1"/>
      <c r="C506" s="1"/>
      <c r="D506" s="1"/>
      <c r="E506" s="1"/>
      <c r="F506" s="1"/>
      <c r="G506" s="1"/>
      <c r="H506" s="1"/>
      <c r="I506" s="1"/>
    </row>
    <row r="507" ht="13.5" customHeight="1">
      <c r="B507" s="1"/>
      <c r="C507" s="1"/>
      <c r="D507" s="1"/>
      <c r="E507" s="1"/>
      <c r="F507" s="1"/>
      <c r="G507" s="1"/>
      <c r="H507" s="1"/>
      <c r="I507" s="1"/>
    </row>
    <row r="508" ht="13.5" customHeight="1">
      <c r="B508" s="1"/>
      <c r="C508" s="1"/>
      <c r="D508" s="1"/>
      <c r="E508" s="1"/>
      <c r="F508" s="1"/>
      <c r="G508" s="1"/>
      <c r="H508" s="1"/>
      <c r="I508" s="1"/>
    </row>
    <row r="509" ht="13.5" customHeight="1">
      <c r="B509" s="1"/>
      <c r="C509" s="1"/>
      <c r="D509" s="1"/>
      <c r="E509" s="1"/>
      <c r="F509" s="1"/>
      <c r="G509" s="1"/>
      <c r="H509" s="1"/>
      <c r="I509" s="1"/>
    </row>
    <row r="510" ht="13.5" customHeight="1">
      <c r="B510" s="1"/>
      <c r="C510" s="1"/>
      <c r="D510" s="1"/>
      <c r="E510" s="1"/>
      <c r="F510" s="1"/>
      <c r="G510" s="1"/>
      <c r="H510" s="1"/>
      <c r="I510" s="1"/>
    </row>
    <row r="511" ht="13.5" customHeight="1">
      <c r="B511" s="1"/>
      <c r="C511" s="1"/>
      <c r="D511" s="1"/>
      <c r="E511" s="1"/>
      <c r="F511" s="1"/>
      <c r="G511" s="1"/>
      <c r="H511" s="1"/>
      <c r="I511" s="1"/>
    </row>
    <row r="512" ht="13.5" customHeight="1">
      <c r="B512" s="1"/>
      <c r="C512" s="1"/>
      <c r="D512" s="1"/>
      <c r="E512" s="1"/>
      <c r="F512" s="1"/>
      <c r="G512" s="1"/>
      <c r="H512" s="1"/>
      <c r="I512" s="1"/>
    </row>
    <row r="513" ht="13.5" customHeight="1">
      <c r="B513" s="1"/>
      <c r="C513" s="1"/>
      <c r="D513" s="1"/>
      <c r="E513" s="1"/>
      <c r="F513" s="1"/>
      <c r="G513" s="1"/>
      <c r="H513" s="1"/>
      <c r="I513" s="1"/>
    </row>
    <row r="514" ht="13.5" customHeight="1">
      <c r="B514" s="1"/>
      <c r="C514" s="1"/>
      <c r="D514" s="1"/>
      <c r="E514" s="1"/>
      <c r="F514" s="1"/>
      <c r="G514" s="1"/>
      <c r="H514" s="1"/>
      <c r="I514" s="1"/>
    </row>
    <row r="515" ht="13.5" customHeight="1">
      <c r="B515" s="1"/>
      <c r="C515" s="1"/>
      <c r="D515" s="1"/>
      <c r="E515" s="1"/>
      <c r="F515" s="1"/>
      <c r="G515" s="1"/>
      <c r="H515" s="1"/>
      <c r="I515" s="1"/>
    </row>
    <row r="516" ht="13.5" customHeight="1">
      <c r="B516" s="1"/>
      <c r="C516" s="1"/>
      <c r="D516" s="1"/>
      <c r="E516" s="1"/>
      <c r="F516" s="1"/>
      <c r="G516" s="1"/>
      <c r="H516" s="1"/>
      <c r="I516" s="1"/>
    </row>
    <row r="517" ht="13.5" customHeight="1">
      <c r="B517" s="1"/>
      <c r="C517" s="1"/>
      <c r="D517" s="1"/>
      <c r="E517" s="1"/>
      <c r="F517" s="1"/>
      <c r="G517" s="1"/>
      <c r="H517" s="1"/>
      <c r="I517" s="1"/>
    </row>
    <row r="518" ht="13.5" customHeight="1">
      <c r="B518" s="1"/>
      <c r="C518" s="1"/>
      <c r="D518" s="1"/>
      <c r="E518" s="1"/>
      <c r="F518" s="1"/>
      <c r="G518" s="1"/>
      <c r="H518" s="1"/>
      <c r="I518" s="1"/>
    </row>
    <row r="519" ht="13.5" customHeight="1">
      <c r="B519" s="1"/>
      <c r="C519" s="1"/>
      <c r="D519" s="1"/>
      <c r="E519" s="1"/>
      <c r="F519" s="1"/>
      <c r="G519" s="1"/>
      <c r="H519" s="1"/>
      <c r="I519" s="1"/>
    </row>
    <row r="520" ht="13.5" customHeight="1">
      <c r="B520" s="1"/>
      <c r="C520" s="1"/>
      <c r="D520" s="1"/>
      <c r="E520" s="1"/>
      <c r="F520" s="1"/>
      <c r="G520" s="1"/>
      <c r="H520" s="1"/>
      <c r="I520" s="1"/>
    </row>
    <row r="521" ht="13.5" customHeight="1">
      <c r="B521" s="1"/>
      <c r="C521" s="1"/>
      <c r="D521" s="1"/>
      <c r="E521" s="1"/>
      <c r="F521" s="1"/>
      <c r="G521" s="1"/>
      <c r="H521" s="1"/>
      <c r="I521" s="1"/>
    </row>
    <row r="522" ht="13.5" customHeight="1">
      <c r="B522" s="1"/>
      <c r="C522" s="1"/>
      <c r="D522" s="1"/>
      <c r="E522" s="1"/>
      <c r="F522" s="1"/>
      <c r="G522" s="1"/>
      <c r="H522" s="1"/>
      <c r="I522" s="1"/>
    </row>
    <row r="523" ht="13.5" customHeight="1">
      <c r="B523" s="1"/>
      <c r="C523" s="1"/>
      <c r="D523" s="1"/>
      <c r="E523" s="1"/>
      <c r="F523" s="1"/>
      <c r="G523" s="1"/>
      <c r="H523" s="1"/>
      <c r="I523" s="1"/>
    </row>
    <row r="524" ht="13.5" customHeight="1">
      <c r="B524" s="1"/>
      <c r="C524" s="1"/>
      <c r="D524" s="1"/>
      <c r="E524" s="1"/>
      <c r="F524" s="1"/>
      <c r="G524" s="1"/>
      <c r="H524" s="1"/>
      <c r="I524" s="1"/>
    </row>
    <row r="525" ht="13.5" customHeight="1">
      <c r="B525" s="1"/>
      <c r="C525" s="1"/>
      <c r="D525" s="1"/>
      <c r="E525" s="1"/>
      <c r="F525" s="1"/>
      <c r="G525" s="1"/>
      <c r="H525" s="1"/>
      <c r="I525" s="1"/>
    </row>
    <row r="526" ht="13.5" customHeight="1">
      <c r="B526" s="1"/>
      <c r="C526" s="1"/>
      <c r="D526" s="1"/>
      <c r="E526" s="1"/>
      <c r="F526" s="1"/>
      <c r="G526" s="1"/>
      <c r="H526" s="1"/>
      <c r="I526" s="1"/>
    </row>
    <row r="527" ht="13.5" customHeight="1">
      <c r="B527" s="1"/>
      <c r="C527" s="1"/>
      <c r="D527" s="1"/>
      <c r="E527" s="1"/>
      <c r="F527" s="1"/>
      <c r="G527" s="1"/>
      <c r="H527" s="1"/>
      <c r="I527" s="1"/>
    </row>
    <row r="528" ht="13.5" customHeight="1">
      <c r="B528" s="1"/>
      <c r="C528" s="1"/>
      <c r="D528" s="1"/>
      <c r="E528" s="1"/>
      <c r="F528" s="1"/>
      <c r="G528" s="1"/>
      <c r="H528" s="1"/>
      <c r="I528" s="1"/>
    </row>
    <row r="529" ht="13.5" customHeight="1">
      <c r="B529" s="1"/>
      <c r="C529" s="1"/>
      <c r="D529" s="1"/>
      <c r="E529" s="1"/>
      <c r="F529" s="1"/>
      <c r="G529" s="1"/>
      <c r="H529" s="1"/>
      <c r="I529" s="1"/>
    </row>
    <row r="530" ht="13.5" customHeight="1">
      <c r="B530" s="1"/>
      <c r="C530" s="1"/>
      <c r="D530" s="1"/>
      <c r="E530" s="1"/>
      <c r="F530" s="1"/>
      <c r="G530" s="1"/>
      <c r="H530" s="1"/>
      <c r="I530" s="1"/>
    </row>
    <row r="531" ht="13.5" customHeight="1">
      <c r="B531" s="1"/>
      <c r="C531" s="1"/>
      <c r="D531" s="1"/>
      <c r="E531" s="1"/>
      <c r="F531" s="1"/>
      <c r="G531" s="1"/>
      <c r="H531" s="1"/>
      <c r="I531" s="1"/>
    </row>
    <row r="532" ht="13.5" customHeight="1">
      <c r="B532" s="1"/>
      <c r="C532" s="1"/>
      <c r="D532" s="1"/>
      <c r="E532" s="1"/>
      <c r="F532" s="1"/>
      <c r="G532" s="1"/>
      <c r="H532" s="1"/>
      <c r="I532" s="1"/>
    </row>
    <row r="533" ht="13.5" customHeight="1">
      <c r="B533" s="1"/>
      <c r="C533" s="1"/>
      <c r="D533" s="1"/>
      <c r="E533" s="1"/>
      <c r="F533" s="1"/>
      <c r="G533" s="1"/>
      <c r="H533" s="1"/>
      <c r="I533" s="1"/>
    </row>
    <row r="534" ht="13.5" customHeight="1">
      <c r="B534" s="1"/>
      <c r="C534" s="1"/>
      <c r="D534" s="1"/>
      <c r="E534" s="1"/>
      <c r="F534" s="1"/>
      <c r="G534" s="1"/>
      <c r="H534" s="1"/>
      <c r="I534" s="1"/>
    </row>
    <row r="535" ht="13.5" customHeight="1">
      <c r="B535" s="1"/>
      <c r="C535" s="1"/>
      <c r="D535" s="1"/>
      <c r="E535" s="1"/>
      <c r="F535" s="1"/>
      <c r="G535" s="1"/>
      <c r="H535" s="1"/>
      <c r="I535" s="1"/>
    </row>
    <row r="536" ht="13.5" customHeight="1">
      <c r="B536" s="1"/>
      <c r="C536" s="1"/>
      <c r="D536" s="1"/>
      <c r="E536" s="1"/>
      <c r="F536" s="1"/>
      <c r="G536" s="1"/>
      <c r="H536" s="1"/>
      <c r="I536" s="1"/>
    </row>
    <row r="537" ht="13.5" customHeight="1">
      <c r="B537" s="1"/>
      <c r="C537" s="1"/>
      <c r="D537" s="1"/>
      <c r="E537" s="1"/>
      <c r="F537" s="1"/>
      <c r="G537" s="1"/>
      <c r="H537" s="1"/>
      <c r="I537" s="1"/>
    </row>
    <row r="538" ht="13.5" customHeight="1">
      <c r="B538" s="1"/>
      <c r="C538" s="1"/>
      <c r="D538" s="1"/>
      <c r="E538" s="1"/>
      <c r="F538" s="1"/>
      <c r="G538" s="1"/>
      <c r="H538" s="1"/>
      <c r="I538" s="1"/>
    </row>
    <row r="539" ht="13.5" customHeight="1">
      <c r="B539" s="1"/>
      <c r="C539" s="1"/>
      <c r="D539" s="1"/>
      <c r="E539" s="1"/>
      <c r="F539" s="1"/>
      <c r="G539" s="1"/>
      <c r="H539" s="1"/>
      <c r="I539" s="1"/>
    </row>
    <row r="540" ht="13.5" customHeight="1">
      <c r="B540" s="1"/>
      <c r="C540" s="1"/>
      <c r="D540" s="1"/>
      <c r="E540" s="1"/>
      <c r="F540" s="1"/>
      <c r="G540" s="1"/>
      <c r="H540" s="1"/>
      <c r="I540" s="1"/>
    </row>
    <row r="541" ht="13.5" customHeight="1">
      <c r="B541" s="1"/>
      <c r="C541" s="1"/>
      <c r="D541" s="1"/>
      <c r="E541" s="1"/>
      <c r="F541" s="1"/>
      <c r="G541" s="1"/>
      <c r="H541" s="1"/>
      <c r="I541" s="1"/>
    </row>
    <row r="542" ht="13.5" customHeight="1">
      <c r="B542" s="1"/>
      <c r="C542" s="1"/>
      <c r="D542" s="1"/>
      <c r="E542" s="1"/>
      <c r="F542" s="1"/>
      <c r="G542" s="1"/>
      <c r="H542" s="1"/>
      <c r="I542" s="1"/>
    </row>
    <row r="543" ht="13.5" customHeight="1">
      <c r="B543" s="1"/>
      <c r="C543" s="1"/>
      <c r="D543" s="1"/>
      <c r="E543" s="1"/>
      <c r="F543" s="1"/>
      <c r="G543" s="1"/>
      <c r="H543" s="1"/>
      <c r="I543" s="1"/>
    </row>
    <row r="544" ht="13.5" customHeight="1">
      <c r="B544" s="1"/>
      <c r="C544" s="1"/>
      <c r="D544" s="1"/>
      <c r="E544" s="1"/>
      <c r="F544" s="1"/>
      <c r="G544" s="1"/>
      <c r="H544" s="1"/>
      <c r="I544" s="1"/>
    </row>
    <row r="545" ht="13.5" customHeight="1">
      <c r="B545" s="1"/>
      <c r="C545" s="1"/>
      <c r="D545" s="1"/>
      <c r="E545" s="1"/>
      <c r="F545" s="1"/>
      <c r="G545" s="1"/>
      <c r="H545" s="1"/>
      <c r="I545" s="1"/>
    </row>
    <row r="546" ht="13.5" customHeight="1">
      <c r="B546" s="1"/>
      <c r="C546" s="1"/>
      <c r="D546" s="1"/>
      <c r="E546" s="1"/>
      <c r="F546" s="1"/>
      <c r="G546" s="1"/>
      <c r="H546" s="1"/>
      <c r="I546" s="1"/>
    </row>
    <row r="547" ht="13.5" customHeight="1">
      <c r="B547" s="1"/>
      <c r="C547" s="1"/>
      <c r="D547" s="1"/>
      <c r="E547" s="1"/>
      <c r="F547" s="1"/>
      <c r="G547" s="1"/>
      <c r="H547" s="1"/>
      <c r="I547" s="1"/>
    </row>
    <row r="548" ht="13.5" customHeight="1">
      <c r="B548" s="1"/>
      <c r="C548" s="1"/>
      <c r="D548" s="1"/>
      <c r="E548" s="1"/>
      <c r="F548" s="1"/>
      <c r="G548" s="1"/>
      <c r="H548" s="1"/>
      <c r="I548" s="1"/>
    </row>
    <row r="549" ht="13.5" customHeight="1">
      <c r="B549" s="1"/>
      <c r="C549" s="1"/>
      <c r="D549" s="1"/>
      <c r="E549" s="1"/>
      <c r="F549" s="1"/>
      <c r="G549" s="1"/>
      <c r="H549" s="1"/>
      <c r="I549" s="1"/>
    </row>
    <row r="550" ht="13.5" customHeight="1">
      <c r="B550" s="1"/>
      <c r="C550" s="1"/>
      <c r="D550" s="1"/>
      <c r="E550" s="1"/>
      <c r="F550" s="1"/>
      <c r="G550" s="1"/>
      <c r="H550" s="1"/>
      <c r="I550" s="1"/>
    </row>
    <row r="551" ht="13.5" customHeight="1">
      <c r="B551" s="1"/>
      <c r="C551" s="1"/>
      <c r="D551" s="1"/>
      <c r="E551" s="1"/>
      <c r="F551" s="1"/>
      <c r="G551" s="1"/>
      <c r="H551" s="1"/>
      <c r="I551" s="1"/>
    </row>
    <row r="552" ht="13.5" customHeight="1">
      <c r="B552" s="1"/>
      <c r="C552" s="1"/>
      <c r="D552" s="1"/>
      <c r="E552" s="1"/>
      <c r="F552" s="1"/>
      <c r="G552" s="1"/>
      <c r="H552" s="1"/>
      <c r="I552" s="1"/>
    </row>
    <row r="553" ht="13.5" customHeight="1">
      <c r="B553" s="1"/>
      <c r="C553" s="1"/>
      <c r="D553" s="1"/>
      <c r="E553" s="1"/>
      <c r="F553" s="1"/>
      <c r="G553" s="1"/>
      <c r="H553" s="1"/>
      <c r="I553" s="1"/>
    </row>
    <row r="554" ht="13.5" customHeight="1">
      <c r="B554" s="1"/>
      <c r="C554" s="1"/>
      <c r="D554" s="1"/>
      <c r="E554" s="1"/>
      <c r="F554" s="1"/>
      <c r="G554" s="1"/>
      <c r="H554" s="1"/>
      <c r="I554" s="1"/>
    </row>
    <row r="555" ht="13.5" customHeight="1">
      <c r="B555" s="1"/>
      <c r="C555" s="1"/>
      <c r="D555" s="1"/>
      <c r="E555" s="1"/>
      <c r="F555" s="1"/>
      <c r="G555" s="1"/>
      <c r="H555" s="1"/>
      <c r="I555" s="1"/>
    </row>
    <row r="556" ht="13.5" customHeight="1">
      <c r="B556" s="1"/>
      <c r="C556" s="1"/>
      <c r="D556" s="1"/>
      <c r="E556" s="1"/>
      <c r="F556" s="1"/>
      <c r="G556" s="1"/>
      <c r="H556" s="1"/>
      <c r="I556" s="1"/>
    </row>
    <row r="557" ht="13.5" customHeight="1">
      <c r="B557" s="1"/>
      <c r="C557" s="1"/>
      <c r="D557" s="1"/>
      <c r="E557" s="1"/>
      <c r="F557" s="1"/>
      <c r="G557" s="1"/>
      <c r="H557" s="1"/>
      <c r="I557" s="1"/>
    </row>
    <row r="558" ht="13.5" customHeight="1">
      <c r="B558" s="1"/>
      <c r="C558" s="1"/>
      <c r="D558" s="1"/>
      <c r="E558" s="1"/>
      <c r="F558" s="1"/>
      <c r="G558" s="1"/>
      <c r="H558" s="1"/>
      <c r="I558" s="1"/>
    </row>
    <row r="559" ht="13.5" customHeight="1">
      <c r="B559" s="1"/>
      <c r="C559" s="1"/>
      <c r="D559" s="1"/>
      <c r="E559" s="1"/>
      <c r="F559" s="1"/>
      <c r="G559" s="1"/>
      <c r="H559" s="1"/>
      <c r="I559" s="1"/>
    </row>
    <row r="560" ht="13.5" customHeight="1">
      <c r="B560" s="1"/>
      <c r="C560" s="1"/>
      <c r="D560" s="1"/>
      <c r="E560" s="1"/>
      <c r="F560" s="1"/>
      <c r="G560" s="1"/>
      <c r="H560" s="1"/>
      <c r="I560" s="1"/>
    </row>
    <row r="561" ht="13.5" customHeight="1">
      <c r="B561" s="1"/>
      <c r="C561" s="1"/>
      <c r="D561" s="1"/>
      <c r="E561" s="1"/>
      <c r="F561" s="1"/>
      <c r="G561" s="1"/>
      <c r="H561" s="1"/>
      <c r="I561" s="1"/>
    </row>
    <row r="562" ht="13.5" customHeight="1">
      <c r="B562" s="1"/>
      <c r="C562" s="1"/>
      <c r="D562" s="1"/>
      <c r="E562" s="1"/>
      <c r="F562" s="1"/>
      <c r="G562" s="1"/>
      <c r="H562" s="1"/>
      <c r="I562" s="1"/>
    </row>
    <row r="563" ht="13.5" customHeight="1">
      <c r="B563" s="1"/>
      <c r="C563" s="1"/>
      <c r="D563" s="1"/>
      <c r="E563" s="1"/>
      <c r="F563" s="1"/>
      <c r="G563" s="1"/>
      <c r="H563" s="1"/>
      <c r="I563" s="1"/>
    </row>
    <row r="564" ht="13.5" customHeight="1">
      <c r="B564" s="1"/>
      <c r="C564" s="1"/>
      <c r="D564" s="1"/>
      <c r="E564" s="1"/>
      <c r="F564" s="1"/>
      <c r="G564" s="1"/>
      <c r="H564" s="1"/>
      <c r="I564" s="1"/>
    </row>
    <row r="565" ht="13.5" customHeight="1">
      <c r="B565" s="1"/>
      <c r="C565" s="1"/>
      <c r="D565" s="1"/>
      <c r="E565" s="1"/>
      <c r="F565" s="1"/>
      <c r="G565" s="1"/>
      <c r="H565" s="1"/>
      <c r="I565" s="1"/>
    </row>
    <row r="566" ht="13.5" customHeight="1">
      <c r="B566" s="1"/>
      <c r="C566" s="1"/>
      <c r="D566" s="1"/>
      <c r="E566" s="1"/>
      <c r="F566" s="1"/>
      <c r="G566" s="1"/>
      <c r="H566" s="1"/>
      <c r="I566" s="1"/>
    </row>
    <row r="567" ht="13.5" customHeight="1">
      <c r="B567" s="1"/>
      <c r="C567" s="1"/>
      <c r="D567" s="1"/>
      <c r="E567" s="1"/>
      <c r="F567" s="1"/>
      <c r="G567" s="1"/>
      <c r="H567" s="1"/>
      <c r="I567" s="1"/>
    </row>
    <row r="568" ht="13.5" customHeight="1">
      <c r="B568" s="1"/>
      <c r="C568" s="1"/>
      <c r="D568" s="1"/>
      <c r="E568" s="1"/>
      <c r="F568" s="1"/>
      <c r="G568" s="1"/>
      <c r="H568" s="1"/>
      <c r="I568" s="1"/>
    </row>
    <row r="569" ht="13.5" customHeight="1">
      <c r="B569" s="1"/>
      <c r="C569" s="1"/>
      <c r="D569" s="1"/>
      <c r="E569" s="1"/>
      <c r="F569" s="1"/>
      <c r="G569" s="1"/>
      <c r="H569" s="1"/>
      <c r="I569" s="1"/>
    </row>
    <row r="570" ht="13.5" customHeight="1">
      <c r="B570" s="1"/>
      <c r="C570" s="1"/>
      <c r="D570" s="1"/>
      <c r="E570" s="1"/>
      <c r="F570" s="1"/>
      <c r="G570" s="1"/>
      <c r="H570" s="1"/>
      <c r="I570" s="1"/>
    </row>
    <row r="571" ht="13.5" customHeight="1">
      <c r="B571" s="1"/>
      <c r="C571" s="1"/>
      <c r="D571" s="1"/>
      <c r="E571" s="1"/>
      <c r="F571" s="1"/>
      <c r="G571" s="1"/>
      <c r="H571" s="1"/>
      <c r="I571" s="1"/>
    </row>
    <row r="572" ht="13.5" customHeight="1">
      <c r="B572" s="1"/>
      <c r="C572" s="1"/>
      <c r="D572" s="1"/>
      <c r="E572" s="1"/>
      <c r="F572" s="1"/>
      <c r="G572" s="1"/>
      <c r="H572" s="1"/>
      <c r="I572" s="1"/>
    </row>
    <row r="573" ht="13.5" customHeight="1">
      <c r="B573" s="1"/>
      <c r="C573" s="1"/>
      <c r="D573" s="1"/>
      <c r="E573" s="1"/>
      <c r="F573" s="1"/>
      <c r="G573" s="1"/>
      <c r="H573" s="1"/>
      <c r="I573" s="1"/>
    </row>
    <row r="574" ht="13.5" customHeight="1">
      <c r="B574" s="1"/>
      <c r="C574" s="1"/>
      <c r="D574" s="1"/>
      <c r="E574" s="1"/>
      <c r="F574" s="1"/>
      <c r="G574" s="1"/>
      <c r="H574" s="1"/>
      <c r="I574" s="1"/>
    </row>
    <row r="575" ht="13.5" customHeight="1">
      <c r="B575" s="1"/>
      <c r="C575" s="1"/>
      <c r="D575" s="1"/>
      <c r="E575" s="1"/>
      <c r="F575" s="1"/>
      <c r="G575" s="1"/>
      <c r="H575" s="1"/>
      <c r="I575" s="1"/>
    </row>
    <row r="576" ht="13.5" customHeight="1">
      <c r="B576" s="1"/>
      <c r="C576" s="1"/>
      <c r="D576" s="1"/>
      <c r="E576" s="1"/>
      <c r="F576" s="1"/>
      <c r="G576" s="1"/>
      <c r="H576" s="1"/>
      <c r="I576" s="1"/>
    </row>
    <row r="577" ht="13.5" customHeight="1">
      <c r="B577" s="1"/>
      <c r="C577" s="1"/>
      <c r="D577" s="1"/>
      <c r="E577" s="1"/>
      <c r="F577" s="1"/>
      <c r="G577" s="1"/>
      <c r="H577" s="1"/>
      <c r="I577" s="1"/>
    </row>
    <row r="578" ht="13.5" customHeight="1">
      <c r="B578" s="1"/>
      <c r="C578" s="1"/>
      <c r="D578" s="1"/>
      <c r="E578" s="1"/>
      <c r="F578" s="1"/>
      <c r="G578" s="1"/>
      <c r="H578" s="1"/>
      <c r="I578" s="1"/>
    </row>
    <row r="579" ht="13.5" customHeight="1">
      <c r="B579" s="1"/>
      <c r="C579" s="1"/>
      <c r="D579" s="1"/>
      <c r="E579" s="1"/>
      <c r="F579" s="1"/>
      <c r="G579" s="1"/>
      <c r="H579" s="1"/>
      <c r="I579" s="1"/>
    </row>
    <row r="580" ht="13.5" customHeight="1">
      <c r="B580" s="1"/>
      <c r="C580" s="1"/>
      <c r="D580" s="1"/>
      <c r="E580" s="1"/>
      <c r="F580" s="1"/>
      <c r="G580" s="1"/>
      <c r="H580" s="1"/>
      <c r="I580" s="1"/>
    </row>
    <row r="581" ht="13.5" customHeight="1">
      <c r="B581" s="1"/>
      <c r="C581" s="1"/>
      <c r="D581" s="1"/>
      <c r="E581" s="1"/>
      <c r="F581" s="1"/>
      <c r="G581" s="1"/>
      <c r="H581" s="1"/>
      <c r="I581" s="1"/>
    </row>
    <row r="582" ht="13.5" customHeight="1">
      <c r="B582" s="1"/>
      <c r="C582" s="1"/>
      <c r="D582" s="1"/>
      <c r="E582" s="1"/>
      <c r="F582" s="1"/>
      <c r="G582" s="1"/>
      <c r="H582" s="1"/>
      <c r="I582" s="1"/>
    </row>
    <row r="583" ht="13.5" customHeight="1">
      <c r="B583" s="1"/>
      <c r="C583" s="1"/>
      <c r="D583" s="1"/>
      <c r="E583" s="1"/>
      <c r="F583" s="1"/>
      <c r="G583" s="1"/>
      <c r="H583" s="1"/>
      <c r="I583" s="1"/>
    </row>
    <row r="584" ht="13.5" customHeight="1">
      <c r="B584" s="1"/>
      <c r="C584" s="1"/>
      <c r="D584" s="1"/>
      <c r="E584" s="1"/>
      <c r="F584" s="1"/>
      <c r="G584" s="1"/>
      <c r="H584" s="1"/>
      <c r="I584" s="1"/>
    </row>
    <row r="585" ht="13.5" customHeight="1">
      <c r="B585" s="1"/>
      <c r="C585" s="1"/>
      <c r="D585" s="1"/>
      <c r="E585" s="1"/>
      <c r="F585" s="1"/>
      <c r="G585" s="1"/>
      <c r="H585" s="1"/>
      <c r="I585" s="1"/>
    </row>
    <row r="586" ht="13.5" customHeight="1">
      <c r="B586" s="1"/>
      <c r="C586" s="1"/>
      <c r="D586" s="1"/>
      <c r="E586" s="1"/>
      <c r="F586" s="1"/>
      <c r="G586" s="1"/>
      <c r="H586" s="1"/>
      <c r="I586" s="1"/>
    </row>
    <row r="587" ht="13.5" customHeight="1">
      <c r="B587" s="1"/>
      <c r="C587" s="1"/>
      <c r="D587" s="1"/>
      <c r="E587" s="1"/>
      <c r="F587" s="1"/>
      <c r="G587" s="1"/>
      <c r="H587" s="1"/>
      <c r="I587" s="1"/>
    </row>
    <row r="588" ht="13.5" customHeight="1">
      <c r="B588" s="1"/>
      <c r="C588" s="1"/>
      <c r="D588" s="1"/>
      <c r="E588" s="1"/>
      <c r="F588" s="1"/>
      <c r="G588" s="1"/>
      <c r="H588" s="1"/>
      <c r="I588" s="1"/>
    </row>
    <row r="589" ht="13.5" customHeight="1">
      <c r="B589" s="1"/>
      <c r="C589" s="1"/>
      <c r="D589" s="1"/>
      <c r="E589" s="1"/>
      <c r="F589" s="1"/>
      <c r="G589" s="1"/>
      <c r="H589" s="1"/>
      <c r="I589" s="1"/>
    </row>
    <row r="590" ht="13.5" customHeight="1">
      <c r="B590" s="1"/>
      <c r="C590" s="1"/>
      <c r="D590" s="1"/>
      <c r="E590" s="1"/>
      <c r="F590" s="1"/>
      <c r="G590" s="1"/>
      <c r="H590" s="1"/>
      <c r="I590" s="1"/>
    </row>
    <row r="591" ht="13.5" customHeight="1">
      <c r="B591" s="1"/>
      <c r="C591" s="1"/>
      <c r="D591" s="1"/>
      <c r="E591" s="1"/>
      <c r="F591" s="1"/>
      <c r="G591" s="1"/>
      <c r="H591" s="1"/>
      <c r="I591" s="1"/>
    </row>
    <row r="592" ht="13.5" customHeight="1">
      <c r="B592" s="1"/>
      <c r="C592" s="1"/>
      <c r="D592" s="1"/>
      <c r="E592" s="1"/>
      <c r="F592" s="1"/>
      <c r="G592" s="1"/>
      <c r="H592" s="1"/>
      <c r="I592" s="1"/>
    </row>
    <row r="593" ht="13.5" customHeight="1">
      <c r="B593" s="1"/>
      <c r="C593" s="1"/>
      <c r="D593" s="1"/>
      <c r="E593" s="1"/>
      <c r="F593" s="1"/>
      <c r="G593" s="1"/>
      <c r="H593" s="1"/>
      <c r="I593" s="1"/>
    </row>
    <row r="594" ht="13.5" customHeight="1">
      <c r="B594" s="1"/>
      <c r="C594" s="1"/>
      <c r="D594" s="1"/>
      <c r="E594" s="1"/>
      <c r="F594" s="1"/>
      <c r="G594" s="1"/>
      <c r="H594" s="1"/>
      <c r="I594" s="1"/>
    </row>
    <row r="595" ht="13.5" customHeight="1">
      <c r="B595" s="1"/>
      <c r="C595" s="1"/>
      <c r="D595" s="1"/>
      <c r="E595" s="1"/>
      <c r="F595" s="1"/>
      <c r="G595" s="1"/>
      <c r="H595" s="1"/>
      <c r="I595" s="1"/>
    </row>
    <row r="596" ht="13.5" customHeight="1">
      <c r="B596" s="1"/>
      <c r="C596" s="1"/>
      <c r="D596" s="1"/>
      <c r="E596" s="1"/>
      <c r="F596" s="1"/>
      <c r="G596" s="1"/>
      <c r="H596" s="1"/>
      <c r="I596" s="1"/>
    </row>
    <row r="597" ht="13.5" customHeight="1">
      <c r="B597" s="1"/>
      <c r="C597" s="1"/>
      <c r="D597" s="1"/>
      <c r="E597" s="1"/>
      <c r="F597" s="1"/>
      <c r="G597" s="1"/>
      <c r="H597" s="1"/>
      <c r="I597" s="1"/>
    </row>
    <row r="598" ht="13.5" customHeight="1">
      <c r="B598" s="1"/>
      <c r="C598" s="1"/>
      <c r="D598" s="1"/>
      <c r="E598" s="1"/>
      <c r="F598" s="1"/>
      <c r="G598" s="1"/>
      <c r="H598" s="1"/>
      <c r="I598" s="1"/>
    </row>
    <row r="599" ht="13.5" customHeight="1">
      <c r="B599" s="1"/>
      <c r="C599" s="1"/>
      <c r="D599" s="1"/>
      <c r="E599" s="1"/>
      <c r="F599" s="1"/>
      <c r="G599" s="1"/>
      <c r="H599" s="1"/>
      <c r="I599" s="1"/>
    </row>
    <row r="600" ht="13.5" customHeight="1">
      <c r="B600" s="1"/>
      <c r="C600" s="1"/>
      <c r="D600" s="1"/>
      <c r="E600" s="1"/>
      <c r="F600" s="1"/>
      <c r="G600" s="1"/>
      <c r="H600" s="1"/>
      <c r="I600" s="1"/>
    </row>
    <row r="601" ht="13.5" customHeight="1">
      <c r="B601" s="1"/>
      <c r="C601" s="1"/>
      <c r="D601" s="1"/>
      <c r="E601" s="1"/>
      <c r="F601" s="1"/>
      <c r="G601" s="1"/>
      <c r="H601" s="1"/>
      <c r="I601" s="1"/>
    </row>
    <row r="602" ht="13.5" customHeight="1">
      <c r="B602" s="1"/>
      <c r="C602" s="1"/>
      <c r="D602" s="1"/>
      <c r="E602" s="1"/>
      <c r="F602" s="1"/>
      <c r="G602" s="1"/>
      <c r="H602" s="1"/>
      <c r="I602" s="1"/>
    </row>
    <row r="603" ht="13.5" customHeight="1">
      <c r="B603" s="1"/>
      <c r="C603" s="1"/>
      <c r="D603" s="1"/>
      <c r="E603" s="1"/>
      <c r="F603" s="1"/>
      <c r="G603" s="1"/>
      <c r="H603" s="1"/>
      <c r="I603" s="1"/>
    </row>
    <row r="604" ht="13.5" customHeight="1">
      <c r="B604" s="1"/>
      <c r="C604" s="1"/>
      <c r="D604" s="1"/>
      <c r="E604" s="1"/>
      <c r="F604" s="1"/>
      <c r="G604" s="1"/>
      <c r="H604" s="1"/>
      <c r="I604" s="1"/>
    </row>
    <row r="605" ht="13.5" customHeight="1">
      <c r="B605" s="1"/>
      <c r="C605" s="1"/>
      <c r="D605" s="1"/>
      <c r="E605" s="1"/>
      <c r="F605" s="1"/>
      <c r="G605" s="1"/>
      <c r="H605" s="1"/>
      <c r="I605" s="1"/>
    </row>
    <row r="606" ht="13.5" customHeight="1">
      <c r="B606" s="1"/>
      <c r="C606" s="1"/>
      <c r="D606" s="1"/>
      <c r="E606" s="1"/>
      <c r="F606" s="1"/>
      <c r="G606" s="1"/>
      <c r="H606" s="1"/>
      <c r="I606" s="1"/>
    </row>
    <row r="607" ht="13.5" customHeight="1">
      <c r="B607" s="1"/>
      <c r="C607" s="1"/>
      <c r="D607" s="1"/>
      <c r="E607" s="1"/>
      <c r="F607" s="1"/>
      <c r="G607" s="1"/>
      <c r="H607" s="1"/>
      <c r="I607" s="1"/>
    </row>
    <row r="608" ht="13.5" customHeight="1">
      <c r="B608" s="1"/>
      <c r="C608" s="1"/>
      <c r="D608" s="1"/>
      <c r="E608" s="1"/>
      <c r="F608" s="1"/>
      <c r="G608" s="1"/>
      <c r="H608" s="1"/>
      <c r="I608" s="1"/>
    </row>
    <row r="609" ht="13.5" customHeight="1">
      <c r="B609" s="1"/>
      <c r="C609" s="1"/>
      <c r="D609" s="1"/>
      <c r="E609" s="1"/>
      <c r="F609" s="1"/>
      <c r="G609" s="1"/>
      <c r="H609" s="1"/>
      <c r="I609" s="1"/>
    </row>
    <row r="610" ht="13.5" customHeight="1">
      <c r="B610" s="1"/>
      <c r="C610" s="1"/>
      <c r="D610" s="1"/>
      <c r="E610" s="1"/>
      <c r="F610" s="1"/>
      <c r="G610" s="1"/>
      <c r="H610" s="1"/>
      <c r="I610" s="1"/>
    </row>
    <row r="611" ht="13.5" customHeight="1">
      <c r="B611" s="1"/>
      <c r="C611" s="1"/>
      <c r="D611" s="1"/>
      <c r="E611" s="1"/>
      <c r="F611" s="1"/>
      <c r="G611" s="1"/>
      <c r="H611" s="1"/>
      <c r="I611" s="1"/>
    </row>
    <row r="612" ht="13.5" customHeight="1">
      <c r="B612" s="1"/>
      <c r="C612" s="1"/>
      <c r="D612" s="1"/>
      <c r="E612" s="1"/>
      <c r="F612" s="1"/>
      <c r="G612" s="1"/>
      <c r="H612" s="1"/>
      <c r="I612" s="1"/>
    </row>
    <row r="613" ht="13.5" customHeight="1">
      <c r="B613" s="1"/>
      <c r="C613" s="1"/>
      <c r="D613" s="1"/>
      <c r="E613" s="1"/>
      <c r="F613" s="1"/>
      <c r="G613" s="1"/>
      <c r="H613" s="1"/>
      <c r="I613" s="1"/>
    </row>
    <row r="614" ht="13.5" customHeight="1">
      <c r="B614" s="1"/>
      <c r="C614" s="1"/>
      <c r="D614" s="1"/>
      <c r="E614" s="1"/>
      <c r="F614" s="1"/>
      <c r="G614" s="1"/>
      <c r="H614" s="1"/>
      <c r="I614" s="1"/>
    </row>
    <row r="615" ht="13.5" customHeight="1">
      <c r="B615" s="1"/>
      <c r="C615" s="1"/>
      <c r="D615" s="1"/>
      <c r="E615" s="1"/>
      <c r="F615" s="1"/>
      <c r="G615" s="1"/>
      <c r="H615" s="1"/>
      <c r="I615" s="1"/>
    </row>
    <row r="616" ht="13.5" customHeight="1">
      <c r="B616" s="1"/>
      <c r="C616" s="1"/>
      <c r="D616" s="1"/>
      <c r="E616" s="1"/>
      <c r="F616" s="1"/>
      <c r="G616" s="1"/>
      <c r="H616" s="1"/>
      <c r="I616" s="1"/>
    </row>
    <row r="617" ht="13.5" customHeight="1">
      <c r="B617" s="1"/>
      <c r="C617" s="1"/>
      <c r="D617" s="1"/>
      <c r="E617" s="1"/>
      <c r="F617" s="1"/>
      <c r="G617" s="1"/>
      <c r="H617" s="1"/>
      <c r="I617" s="1"/>
    </row>
    <row r="618" ht="13.5" customHeight="1">
      <c r="B618" s="1"/>
      <c r="C618" s="1"/>
      <c r="D618" s="1"/>
      <c r="E618" s="1"/>
      <c r="F618" s="1"/>
      <c r="G618" s="1"/>
      <c r="H618" s="1"/>
      <c r="I618" s="1"/>
    </row>
    <row r="619" ht="13.5" customHeight="1">
      <c r="B619" s="1"/>
      <c r="C619" s="1"/>
      <c r="D619" s="1"/>
      <c r="E619" s="1"/>
      <c r="F619" s="1"/>
      <c r="G619" s="1"/>
      <c r="H619" s="1"/>
      <c r="I619" s="1"/>
    </row>
    <row r="620" ht="13.5" customHeight="1">
      <c r="B620" s="1"/>
      <c r="C620" s="1"/>
      <c r="D620" s="1"/>
      <c r="E620" s="1"/>
      <c r="F620" s="1"/>
      <c r="G620" s="1"/>
      <c r="H620" s="1"/>
      <c r="I620" s="1"/>
    </row>
    <row r="621" ht="13.5" customHeight="1">
      <c r="B621" s="1"/>
      <c r="C621" s="1"/>
      <c r="D621" s="1"/>
      <c r="E621" s="1"/>
      <c r="F621" s="1"/>
      <c r="G621" s="1"/>
      <c r="H621" s="1"/>
      <c r="I621" s="1"/>
    </row>
    <row r="622" ht="13.5" customHeight="1">
      <c r="B622" s="1"/>
      <c r="C622" s="1"/>
      <c r="D622" s="1"/>
      <c r="E622" s="1"/>
      <c r="F622" s="1"/>
      <c r="G622" s="1"/>
      <c r="H622" s="1"/>
      <c r="I622" s="1"/>
    </row>
    <row r="623" ht="13.5" customHeight="1">
      <c r="B623" s="1"/>
      <c r="C623" s="1"/>
      <c r="D623" s="1"/>
      <c r="E623" s="1"/>
      <c r="F623" s="1"/>
      <c r="G623" s="1"/>
      <c r="H623" s="1"/>
      <c r="I623" s="1"/>
    </row>
    <row r="624" ht="13.5" customHeight="1">
      <c r="B624" s="1"/>
      <c r="C624" s="1"/>
      <c r="D624" s="1"/>
      <c r="E624" s="1"/>
      <c r="F624" s="1"/>
      <c r="G624" s="1"/>
      <c r="H624" s="1"/>
      <c r="I624" s="1"/>
    </row>
    <row r="625" ht="13.5" customHeight="1">
      <c r="B625" s="1"/>
      <c r="C625" s="1"/>
      <c r="D625" s="1"/>
      <c r="E625" s="1"/>
      <c r="F625" s="1"/>
      <c r="G625" s="1"/>
      <c r="H625" s="1"/>
      <c r="I625" s="1"/>
    </row>
    <row r="626" ht="13.5" customHeight="1">
      <c r="B626" s="1"/>
      <c r="C626" s="1"/>
      <c r="D626" s="1"/>
      <c r="E626" s="1"/>
      <c r="F626" s="1"/>
      <c r="G626" s="1"/>
      <c r="H626" s="1"/>
      <c r="I626" s="1"/>
    </row>
    <row r="627" ht="13.5" customHeight="1">
      <c r="B627" s="1"/>
      <c r="C627" s="1"/>
      <c r="D627" s="1"/>
      <c r="E627" s="1"/>
      <c r="F627" s="1"/>
      <c r="G627" s="1"/>
      <c r="H627" s="1"/>
      <c r="I627" s="1"/>
    </row>
    <row r="628" ht="13.5" customHeight="1">
      <c r="B628" s="1"/>
      <c r="C628" s="1"/>
      <c r="D628" s="1"/>
      <c r="E628" s="1"/>
      <c r="F628" s="1"/>
      <c r="G628" s="1"/>
      <c r="H628" s="1"/>
      <c r="I628" s="1"/>
    </row>
    <row r="629" ht="13.5" customHeight="1">
      <c r="B629" s="1"/>
      <c r="C629" s="1"/>
      <c r="D629" s="1"/>
      <c r="E629" s="1"/>
      <c r="F629" s="1"/>
      <c r="G629" s="1"/>
      <c r="H629" s="1"/>
      <c r="I629" s="1"/>
    </row>
    <row r="630" ht="13.5" customHeight="1">
      <c r="B630" s="1"/>
      <c r="C630" s="1"/>
      <c r="D630" s="1"/>
      <c r="E630" s="1"/>
      <c r="F630" s="1"/>
      <c r="G630" s="1"/>
      <c r="H630" s="1"/>
      <c r="I630" s="1"/>
    </row>
    <row r="631" ht="13.5" customHeight="1">
      <c r="B631" s="1"/>
      <c r="C631" s="1"/>
      <c r="D631" s="1"/>
      <c r="E631" s="1"/>
      <c r="F631" s="1"/>
      <c r="G631" s="1"/>
      <c r="H631" s="1"/>
      <c r="I631" s="1"/>
    </row>
    <row r="632" ht="13.5" customHeight="1">
      <c r="B632" s="1"/>
      <c r="C632" s="1"/>
      <c r="D632" s="1"/>
      <c r="E632" s="1"/>
      <c r="F632" s="1"/>
      <c r="G632" s="1"/>
      <c r="H632" s="1"/>
      <c r="I632" s="1"/>
    </row>
    <row r="633" ht="13.5" customHeight="1">
      <c r="B633" s="1"/>
      <c r="C633" s="1"/>
      <c r="D633" s="1"/>
      <c r="E633" s="1"/>
      <c r="F633" s="1"/>
      <c r="G633" s="1"/>
      <c r="H633" s="1"/>
      <c r="I633" s="1"/>
    </row>
    <row r="634" ht="13.5" customHeight="1">
      <c r="B634" s="1"/>
      <c r="C634" s="1"/>
      <c r="D634" s="1"/>
      <c r="E634" s="1"/>
      <c r="F634" s="1"/>
      <c r="G634" s="1"/>
      <c r="H634" s="1"/>
      <c r="I634" s="1"/>
    </row>
    <row r="635" ht="13.5" customHeight="1">
      <c r="B635" s="1"/>
      <c r="C635" s="1"/>
      <c r="D635" s="1"/>
      <c r="E635" s="1"/>
      <c r="F635" s="1"/>
      <c r="G635" s="1"/>
      <c r="H635" s="1"/>
      <c r="I635" s="1"/>
    </row>
    <row r="636" ht="13.5" customHeight="1">
      <c r="B636" s="1"/>
      <c r="C636" s="1"/>
      <c r="D636" s="1"/>
      <c r="E636" s="1"/>
      <c r="F636" s="1"/>
      <c r="G636" s="1"/>
      <c r="H636" s="1"/>
      <c r="I636" s="1"/>
    </row>
    <row r="637" ht="13.5" customHeight="1">
      <c r="B637" s="1"/>
      <c r="C637" s="1"/>
      <c r="D637" s="1"/>
      <c r="E637" s="1"/>
      <c r="F637" s="1"/>
      <c r="G637" s="1"/>
      <c r="H637" s="1"/>
      <c r="I637" s="1"/>
    </row>
    <row r="638" ht="13.5" customHeight="1">
      <c r="B638" s="1"/>
      <c r="C638" s="1"/>
      <c r="D638" s="1"/>
      <c r="E638" s="1"/>
      <c r="F638" s="1"/>
      <c r="G638" s="1"/>
      <c r="H638" s="1"/>
      <c r="I638" s="1"/>
    </row>
    <row r="639" ht="13.5" customHeight="1">
      <c r="B639" s="1"/>
      <c r="C639" s="1"/>
      <c r="D639" s="1"/>
      <c r="E639" s="1"/>
      <c r="F639" s="1"/>
      <c r="G639" s="1"/>
      <c r="H639" s="1"/>
      <c r="I639" s="1"/>
    </row>
    <row r="640" ht="13.5" customHeight="1">
      <c r="B640" s="1"/>
      <c r="C640" s="1"/>
      <c r="D640" s="1"/>
      <c r="E640" s="1"/>
      <c r="F640" s="1"/>
      <c r="G640" s="1"/>
      <c r="H640" s="1"/>
      <c r="I640" s="1"/>
    </row>
    <row r="641" ht="13.5" customHeight="1">
      <c r="B641" s="1"/>
      <c r="C641" s="1"/>
      <c r="D641" s="1"/>
      <c r="E641" s="1"/>
      <c r="F641" s="1"/>
      <c r="G641" s="1"/>
      <c r="H641" s="1"/>
      <c r="I641" s="1"/>
    </row>
    <row r="642" ht="13.5" customHeight="1">
      <c r="B642" s="1"/>
      <c r="C642" s="1"/>
      <c r="D642" s="1"/>
      <c r="E642" s="1"/>
      <c r="F642" s="1"/>
      <c r="G642" s="1"/>
      <c r="H642" s="1"/>
      <c r="I642" s="1"/>
    </row>
    <row r="643" ht="13.5" customHeight="1">
      <c r="B643" s="1"/>
      <c r="C643" s="1"/>
      <c r="D643" s="1"/>
      <c r="E643" s="1"/>
      <c r="F643" s="1"/>
      <c r="G643" s="1"/>
      <c r="H643" s="1"/>
      <c r="I643" s="1"/>
    </row>
    <row r="644" ht="13.5" customHeight="1">
      <c r="B644" s="1"/>
      <c r="C644" s="1"/>
      <c r="D644" s="1"/>
      <c r="E644" s="1"/>
      <c r="F644" s="1"/>
      <c r="G644" s="1"/>
      <c r="H644" s="1"/>
      <c r="I644" s="1"/>
    </row>
    <row r="645" ht="13.5" customHeight="1">
      <c r="B645" s="1"/>
      <c r="C645" s="1"/>
      <c r="D645" s="1"/>
      <c r="E645" s="1"/>
      <c r="F645" s="1"/>
      <c r="G645" s="1"/>
      <c r="H645" s="1"/>
      <c r="I645" s="1"/>
    </row>
    <row r="646" ht="13.5" customHeight="1">
      <c r="B646" s="1"/>
      <c r="C646" s="1"/>
      <c r="D646" s="1"/>
      <c r="E646" s="1"/>
      <c r="F646" s="1"/>
      <c r="G646" s="1"/>
      <c r="H646" s="1"/>
      <c r="I646" s="1"/>
    </row>
    <row r="647" ht="13.5" customHeight="1">
      <c r="B647" s="1"/>
      <c r="C647" s="1"/>
      <c r="D647" s="1"/>
      <c r="E647" s="1"/>
      <c r="F647" s="1"/>
      <c r="G647" s="1"/>
      <c r="H647" s="1"/>
      <c r="I647" s="1"/>
    </row>
    <row r="648" ht="13.5" customHeight="1">
      <c r="B648" s="1"/>
      <c r="C648" s="1"/>
      <c r="D648" s="1"/>
      <c r="E648" s="1"/>
      <c r="F648" s="1"/>
      <c r="G648" s="1"/>
      <c r="H648" s="1"/>
      <c r="I648" s="1"/>
    </row>
    <row r="649" ht="13.5" customHeight="1">
      <c r="B649" s="1"/>
      <c r="C649" s="1"/>
      <c r="D649" s="1"/>
      <c r="E649" s="1"/>
      <c r="F649" s="1"/>
      <c r="G649" s="1"/>
      <c r="H649" s="1"/>
      <c r="I649" s="1"/>
    </row>
    <row r="650" ht="13.5" customHeight="1">
      <c r="B650" s="1"/>
      <c r="C650" s="1"/>
      <c r="D650" s="1"/>
      <c r="E650" s="1"/>
      <c r="F650" s="1"/>
      <c r="G650" s="1"/>
      <c r="H650" s="1"/>
      <c r="I650" s="1"/>
    </row>
    <row r="651" ht="13.5" customHeight="1">
      <c r="B651" s="1"/>
      <c r="C651" s="1"/>
      <c r="D651" s="1"/>
      <c r="E651" s="1"/>
      <c r="F651" s="1"/>
      <c r="G651" s="1"/>
      <c r="H651" s="1"/>
      <c r="I651" s="1"/>
    </row>
    <row r="652" ht="13.5" customHeight="1">
      <c r="B652" s="1"/>
      <c r="C652" s="1"/>
      <c r="D652" s="1"/>
      <c r="E652" s="1"/>
      <c r="F652" s="1"/>
      <c r="G652" s="1"/>
      <c r="H652" s="1"/>
      <c r="I652" s="1"/>
    </row>
    <row r="653" ht="13.5" customHeight="1">
      <c r="B653" s="1"/>
      <c r="C653" s="1"/>
      <c r="D653" s="1"/>
      <c r="E653" s="1"/>
      <c r="F653" s="1"/>
      <c r="G653" s="1"/>
      <c r="H653" s="1"/>
      <c r="I653" s="1"/>
    </row>
    <row r="654" ht="13.5" customHeight="1">
      <c r="B654" s="1"/>
      <c r="C654" s="1"/>
      <c r="D654" s="1"/>
      <c r="E654" s="1"/>
      <c r="F654" s="1"/>
      <c r="G654" s="1"/>
      <c r="H654" s="1"/>
      <c r="I654" s="1"/>
    </row>
    <row r="655" ht="13.5" customHeight="1">
      <c r="B655" s="1"/>
      <c r="C655" s="1"/>
      <c r="D655" s="1"/>
      <c r="E655" s="1"/>
      <c r="F655" s="1"/>
      <c r="G655" s="1"/>
      <c r="H655" s="1"/>
      <c r="I655" s="1"/>
    </row>
    <row r="656" ht="13.5" customHeight="1">
      <c r="B656" s="1"/>
      <c r="C656" s="1"/>
      <c r="D656" s="1"/>
      <c r="E656" s="1"/>
      <c r="F656" s="1"/>
      <c r="G656" s="1"/>
      <c r="H656" s="1"/>
      <c r="I656" s="1"/>
    </row>
    <row r="657" ht="13.5" customHeight="1">
      <c r="B657" s="1"/>
      <c r="C657" s="1"/>
      <c r="D657" s="1"/>
      <c r="E657" s="1"/>
      <c r="F657" s="1"/>
      <c r="G657" s="1"/>
      <c r="H657" s="1"/>
      <c r="I657" s="1"/>
    </row>
    <row r="658" ht="13.5" customHeight="1">
      <c r="B658" s="1"/>
      <c r="C658" s="1"/>
      <c r="D658" s="1"/>
      <c r="E658" s="1"/>
      <c r="F658" s="1"/>
      <c r="G658" s="1"/>
      <c r="H658" s="1"/>
      <c r="I658" s="1"/>
    </row>
    <row r="659" ht="13.5" customHeight="1">
      <c r="B659" s="1"/>
      <c r="C659" s="1"/>
      <c r="D659" s="1"/>
      <c r="E659" s="1"/>
      <c r="F659" s="1"/>
      <c r="G659" s="1"/>
      <c r="H659" s="1"/>
      <c r="I659" s="1"/>
    </row>
    <row r="660" ht="13.5" customHeight="1">
      <c r="B660" s="1"/>
      <c r="C660" s="1"/>
      <c r="D660" s="1"/>
      <c r="E660" s="1"/>
      <c r="F660" s="1"/>
      <c r="G660" s="1"/>
      <c r="H660" s="1"/>
      <c r="I660" s="1"/>
    </row>
    <row r="661" ht="13.5" customHeight="1">
      <c r="B661" s="1"/>
      <c r="C661" s="1"/>
      <c r="D661" s="1"/>
      <c r="E661" s="1"/>
      <c r="F661" s="1"/>
      <c r="G661" s="1"/>
      <c r="H661" s="1"/>
      <c r="I661" s="1"/>
    </row>
    <row r="662" ht="13.5" customHeight="1">
      <c r="B662" s="1"/>
      <c r="C662" s="1"/>
      <c r="D662" s="1"/>
      <c r="E662" s="1"/>
      <c r="F662" s="1"/>
      <c r="G662" s="1"/>
      <c r="H662" s="1"/>
      <c r="I662" s="1"/>
    </row>
    <row r="663" ht="13.5" customHeight="1">
      <c r="B663" s="1"/>
      <c r="C663" s="1"/>
      <c r="D663" s="1"/>
      <c r="E663" s="1"/>
      <c r="F663" s="1"/>
      <c r="G663" s="1"/>
      <c r="H663" s="1"/>
      <c r="I663" s="1"/>
    </row>
    <row r="664" ht="13.5" customHeight="1">
      <c r="B664" s="1"/>
      <c r="C664" s="1"/>
      <c r="D664" s="1"/>
      <c r="E664" s="1"/>
      <c r="F664" s="1"/>
      <c r="G664" s="1"/>
      <c r="H664" s="1"/>
      <c r="I664" s="1"/>
    </row>
    <row r="665" ht="13.5" customHeight="1">
      <c r="B665" s="1"/>
      <c r="C665" s="1"/>
      <c r="D665" s="1"/>
      <c r="E665" s="1"/>
      <c r="F665" s="1"/>
      <c r="G665" s="1"/>
      <c r="H665" s="1"/>
      <c r="I665" s="1"/>
    </row>
    <row r="666" ht="13.5" customHeight="1">
      <c r="B666" s="1"/>
      <c r="C666" s="1"/>
      <c r="D666" s="1"/>
      <c r="E666" s="1"/>
      <c r="F666" s="1"/>
      <c r="G666" s="1"/>
      <c r="H666" s="1"/>
      <c r="I666" s="1"/>
    </row>
    <row r="667" ht="13.5" customHeight="1">
      <c r="B667" s="1"/>
      <c r="C667" s="1"/>
      <c r="D667" s="1"/>
      <c r="E667" s="1"/>
      <c r="F667" s="1"/>
      <c r="G667" s="1"/>
      <c r="H667" s="1"/>
      <c r="I667" s="1"/>
    </row>
    <row r="668" ht="13.5" customHeight="1">
      <c r="B668" s="1"/>
      <c r="C668" s="1"/>
      <c r="D668" s="1"/>
      <c r="E668" s="1"/>
      <c r="F668" s="1"/>
      <c r="G668" s="1"/>
      <c r="H668" s="1"/>
      <c r="I668" s="1"/>
    </row>
    <row r="669" ht="13.5" customHeight="1">
      <c r="B669" s="1"/>
      <c r="C669" s="1"/>
      <c r="D669" s="1"/>
      <c r="E669" s="1"/>
      <c r="F669" s="1"/>
      <c r="G669" s="1"/>
      <c r="H669" s="1"/>
      <c r="I669" s="1"/>
    </row>
    <row r="670" ht="13.5" customHeight="1">
      <c r="B670" s="1"/>
      <c r="C670" s="1"/>
      <c r="D670" s="1"/>
      <c r="E670" s="1"/>
      <c r="F670" s="1"/>
      <c r="G670" s="1"/>
      <c r="H670" s="1"/>
      <c r="I670" s="1"/>
    </row>
    <row r="671" ht="13.5" customHeight="1">
      <c r="B671" s="1"/>
      <c r="C671" s="1"/>
      <c r="D671" s="1"/>
      <c r="E671" s="1"/>
      <c r="F671" s="1"/>
      <c r="G671" s="1"/>
      <c r="H671" s="1"/>
      <c r="I671" s="1"/>
    </row>
    <row r="672" ht="13.5" customHeight="1">
      <c r="B672" s="1"/>
      <c r="C672" s="1"/>
      <c r="D672" s="1"/>
      <c r="E672" s="1"/>
      <c r="F672" s="1"/>
      <c r="G672" s="1"/>
      <c r="H672" s="1"/>
      <c r="I672" s="1"/>
    </row>
    <row r="673" ht="13.5" customHeight="1">
      <c r="B673" s="1"/>
      <c r="C673" s="1"/>
      <c r="D673" s="1"/>
      <c r="E673" s="1"/>
      <c r="F673" s="1"/>
      <c r="G673" s="1"/>
      <c r="H673" s="1"/>
      <c r="I673" s="1"/>
    </row>
    <row r="674" ht="13.5" customHeight="1">
      <c r="B674" s="1"/>
      <c r="C674" s="1"/>
      <c r="D674" s="1"/>
      <c r="E674" s="1"/>
      <c r="F674" s="1"/>
      <c r="G674" s="1"/>
      <c r="H674" s="1"/>
      <c r="I674" s="1"/>
    </row>
    <row r="675" ht="13.5" customHeight="1">
      <c r="B675" s="1"/>
      <c r="C675" s="1"/>
      <c r="D675" s="1"/>
      <c r="E675" s="1"/>
      <c r="F675" s="1"/>
      <c r="G675" s="1"/>
      <c r="H675" s="1"/>
      <c r="I675" s="1"/>
    </row>
    <row r="676" ht="13.5" customHeight="1">
      <c r="B676" s="1"/>
      <c r="C676" s="1"/>
      <c r="D676" s="1"/>
      <c r="E676" s="1"/>
      <c r="F676" s="1"/>
      <c r="G676" s="1"/>
      <c r="H676" s="1"/>
      <c r="I676" s="1"/>
    </row>
    <row r="677" ht="13.5" customHeight="1">
      <c r="B677" s="1"/>
      <c r="C677" s="1"/>
      <c r="D677" s="1"/>
      <c r="E677" s="1"/>
      <c r="F677" s="1"/>
      <c r="G677" s="1"/>
      <c r="H677" s="1"/>
      <c r="I677" s="1"/>
    </row>
    <row r="678" ht="13.5" customHeight="1">
      <c r="B678" s="1"/>
      <c r="C678" s="1"/>
      <c r="D678" s="1"/>
      <c r="E678" s="1"/>
      <c r="F678" s="1"/>
      <c r="G678" s="1"/>
      <c r="H678" s="1"/>
      <c r="I678" s="1"/>
    </row>
    <row r="679" ht="13.5" customHeight="1">
      <c r="B679" s="1"/>
      <c r="C679" s="1"/>
      <c r="D679" s="1"/>
      <c r="E679" s="1"/>
      <c r="F679" s="1"/>
      <c r="G679" s="1"/>
      <c r="H679" s="1"/>
      <c r="I679" s="1"/>
    </row>
    <row r="680" ht="13.5" customHeight="1">
      <c r="B680" s="1"/>
      <c r="C680" s="1"/>
      <c r="D680" s="1"/>
      <c r="E680" s="1"/>
      <c r="F680" s="1"/>
      <c r="G680" s="1"/>
      <c r="H680" s="1"/>
      <c r="I680" s="1"/>
    </row>
    <row r="681" ht="13.5" customHeight="1">
      <c r="B681" s="1"/>
      <c r="C681" s="1"/>
      <c r="D681" s="1"/>
      <c r="E681" s="1"/>
      <c r="F681" s="1"/>
      <c r="G681" s="1"/>
      <c r="H681" s="1"/>
      <c r="I681" s="1"/>
    </row>
    <row r="682" ht="13.5" customHeight="1">
      <c r="B682" s="1"/>
      <c r="C682" s="1"/>
      <c r="D682" s="1"/>
      <c r="E682" s="1"/>
      <c r="F682" s="1"/>
      <c r="G682" s="1"/>
      <c r="H682" s="1"/>
      <c r="I682" s="1"/>
    </row>
    <row r="683" ht="13.5" customHeight="1">
      <c r="B683" s="1"/>
      <c r="C683" s="1"/>
      <c r="D683" s="1"/>
      <c r="E683" s="1"/>
      <c r="F683" s="1"/>
      <c r="G683" s="1"/>
      <c r="H683" s="1"/>
      <c r="I683" s="1"/>
    </row>
    <row r="684" ht="13.5" customHeight="1">
      <c r="B684" s="1"/>
      <c r="C684" s="1"/>
      <c r="D684" s="1"/>
      <c r="E684" s="1"/>
      <c r="F684" s="1"/>
      <c r="G684" s="1"/>
      <c r="H684" s="1"/>
      <c r="I684" s="1"/>
    </row>
    <row r="685" ht="13.5" customHeight="1">
      <c r="B685" s="1"/>
      <c r="C685" s="1"/>
      <c r="D685" s="1"/>
      <c r="E685" s="1"/>
      <c r="F685" s="1"/>
      <c r="G685" s="1"/>
      <c r="H685" s="1"/>
      <c r="I685" s="1"/>
    </row>
    <row r="686" ht="13.5" customHeight="1">
      <c r="B686" s="1"/>
      <c r="C686" s="1"/>
      <c r="D686" s="1"/>
      <c r="E686" s="1"/>
      <c r="F686" s="1"/>
      <c r="G686" s="1"/>
      <c r="H686" s="1"/>
      <c r="I686" s="1"/>
    </row>
    <row r="687" ht="13.5" customHeight="1">
      <c r="B687" s="1"/>
      <c r="C687" s="1"/>
      <c r="D687" s="1"/>
      <c r="E687" s="1"/>
      <c r="F687" s="1"/>
      <c r="G687" s="1"/>
      <c r="H687" s="1"/>
      <c r="I687" s="1"/>
    </row>
    <row r="688" ht="13.5" customHeight="1">
      <c r="B688" s="1"/>
      <c r="C688" s="1"/>
      <c r="D688" s="1"/>
      <c r="E688" s="1"/>
      <c r="F688" s="1"/>
      <c r="G688" s="1"/>
      <c r="H688" s="1"/>
      <c r="I688" s="1"/>
    </row>
    <row r="689" ht="13.5" customHeight="1">
      <c r="B689" s="1"/>
      <c r="C689" s="1"/>
      <c r="D689" s="1"/>
      <c r="E689" s="1"/>
      <c r="F689" s="1"/>
      <c r="G689" s="1"/>
      <c r="H689" s="1"/>
      <c r="I689" s="1"/>
    </row>
    <row r="690" ht="13.5" customHeight="1">
      <c r="B690" s="1"/>
      <c r="C690" s="1"/>
      <c r="D690" s="1"/>
      <c r="E690" s="1"/>
      <c r="F690" s="1"/>
      <c r="G690" s="1"/>
      <c r="H690" s="1"/>
      <c r="I690" s="1"/>
    </row>
    <row r="691" ht="13.5" customHeight="1">
      <c r="B691" s="1"/>
      <c r="C691" s="1"/>
      <c r="D691" s="1"/>
      <c r="E691" s="1"/>
      <c r="F691" s="1"/>
      <c r="G691" s="1"/>
      <c r="H691" s="1"/>
      <c r="I691" s="1"/>
    </row>
    <row r="692" ht="13.5" customHeight="1">
      <c r="B692" s="1"/>
      <c r="C692" s="1"/>
      <c r="D692" s="1"/>
      <c r="E692" s="1"/>
      <c r="F692" s="1"/>
      <c r="G692" s="1"/>
      <c r="H692" s="1"/>
      <c r="I692" s="1"/>
    </row>
    <row r="693" ht="13.5" customHeight="1">
      <c r="B693" s="1"/>
      <c r="C693" s="1"/>
      <c r="D693" s="1"/>
      <c r="E693" s="1"/>
      <c r="F693" s="1"/>
      <c r="G693" s="1"/>
      <c r="H693" s="1"/>
      <c r="I693" s="1"/>
    </row>
    <row r="694" ht="13.5" customHeight="1">
      <c r="B694" s="1"/>
      <c r="C694" s="1"/>
      <c r="D694" s="1"/>
      <c r="E694" s="1"/>
      <c r="F694" s="1"/>
      <c r="G694" s="1"/>
      <c r="H694" s="1"/>
      <c r="I694" s="1"/>
    </row>
    <row r="695" ht="13.5" customHeight="1">
      <c r="B695" s="1"/>
      <c r="C695" s="1"/>
      <c r="D695" s="1"/>
      <c r="E695" s="1"/>
      <c r="F695" s="1"/>
      <c r="G695" s="1"/>
      <c r="H695" s="1"/>
      <c r="I695" s="1"/>
    </row>
    <row r="696" ht="13.5" customHeight="1">
      <c r="B696" s="1"/>
      <c r="C696" s="1"/>
      <c r="D696" s="1"/>
      <c r="E696" s="1"/>
      <c r="F696" s="1"/>
      <c r="G696" s="1"/>
      <c r="H696" s="1"/>
      <c r="I696" s="1"/>
    </row>
    <row r="697" ht="13.5" customHeight="1">
      <c r="B697" s="1"/>
      <c r="C697" s="1"/>
      <c r="D697" s="1"/>
      <c r="E697" s="1"/>
      <c r="F697" s="1"/>
      <c r="G697" s="1"/>
      <c r="H697" s="1"/>
      <c r="I697" s="1"/>
    </row>
    <row r="698" ht="13.5" customHeight="1">
      <c r="B698" s="1"/>
      <c r="C698" s="1"/>
      <c r="D698" s="1"/>
      <c r="E698" s="1"/>
      <c r="F698" s="1"/>
      <c r="G698" s="1"/>
      <c r="H698" s="1"/>
      <c r="I698" s="1"/>
    </row>
    <row r="699" ht="13.5" customHeight="1">
      <c r="B699" s="1"/>
      <c r="C699" s="1"/>
      <c r="D699" s="1"/>
      <c r="E699" s="1"/>
      <c r="F699" s="1"/>
      <c r="G699" s="1"/>
      <c r="H699" s="1"/>
      <c r="I699" s="1"/>
    </row>
    <row r="700" ht="13.5" customHeight="1">
      <c r="B700" s="1"/>
      <c r="C700" s="1"/>
      <c r="D700" s="1"/>
      <c r="E700" s="1"/>
      <c r="F700" s="1"/>
      <c r="G700" s="1"/>
      <c r="H700" s="1"/>
      <c r="I700" s="1"/>
    </row>
    <row r="701" ht="13.5" customHeight="1">
      <c r="B701" s="1"/>
      <c r="C701" s="1"/>
      <c r="D701" s="1"/>
      <c r="E701" s="1"/>
      <c r="F701" s="1"/>
      <c r="G701" s="1"/>
      <c r="H701" s="1"/>
      <c r="I701" s="1"/>
    </row>
    <row r="702" ht="13.5" customHeight="1">
      <c r="B702" s="1"/>
      <c r="C702" s="1"/>
      <c r="D702" s="1"/>
      <c r="E702" s="1"/>
      <c r="F702" s="1"/>
      <c r="G702" s="1"/>
      <c r="H702" s="1"/>
      <c r="I702" s="1"/>
    </row>
    <row r="703" ht="13.5" customHeight="1">
      <c r="B703" s="1"/>
      <c r="C703" s="1"/>
      <c r="D703" s="1"/>
      <c r="E703" s="1"/>
      <c r="F703" s="1"/>
      <c r="G703" s="1"/>
      <c r="H703" s="1"/>
      <c r="I703" s="1"/>
    </row>
    <row r="704" ht="13.5" customHeight="1">
      <c r="B704" s="1"/>
      <c r="C704" s="1"/>
      <c r="D704" s="1"/>
      <c r="E704" s="1"/>
      <c r="F704" s="1"/>
      <c r="G704" s="1"/>
      <c r="H704" s="1"/>
      <c r="I704" s="1"/>
    </row>
    <row r="705" ht="13.5" customHeight="1">
      <c r="B705" s="1"/>
      <c r="C705" s="1"/>
      <c r="D705" s="1"/>
      <c r="E705" s="1"/>
      <c r="F705" s="1"/>
      <c r="G705" s="1"/>
      <c r="H705" s="1"/>
      <c r="I705" s="1"/>
    </row>
    <row r="706" ht="13.5" customHeight="1">
      <c r="B706" s="1"/>
      <c r="C706" s="1"/>
      <c r="D706" s="1"/>
      <c r="E706" s="1"/>
      <c r="F706" s="1"/>
      <c r="G706" s="1"/>
      <c r="H706" s="1"/>
      <c r="I706" s="1"/>
    </row>
    <row r="707" ht="13.5" customHeight="1">
      <c r="B707" s="1"/>
      <c r="C707" s="1"/>
      <c r="D707" s="1"/>
      <c r="E707" s="1"/>
      <c r="F707" s="1"/>
      <c r="G707" s="1"/>
      <c r="H707" s="1"/>
      <c r="I707" s="1"/>
    </row>
    <row r="708" ht="13.5" customHeight="1">
      <c r="B708" s="1"/>
      <c r="C708" s="1"/>
      <c r="D708" s="1"/>
      <c r="E708" s="1"/>
      <c r="F708" s="1"/>
      <c r="G708" s="1"/>
      <c r="H708" s="1"/>
      <c r="I708" s="1"/>
    </row>
    <row r="709" ht="13.5" customHeight="1">
      <c r="B709" s="1"/>
      <c r="C709" s="1"/>
      <c r="D709" s="1"/>
      <c r="E709" s="1"/>
      <c r="F709" s="1"/>
      <c r="G709" s="1"/>
      <c r="H709" s="1"/>
      <c r="I709" s="1"/>
    </row>
    <row r="710" ht="13.5" customHeight="1">
      <c r="B710" s="1"/>
      <c r="C710" s="1"/>
      <c r="D710" s="1"/>
      <c r="E710" s="1"/>
      <c r="F710" s="1"/>
      <c r="G710" s="1"/>
      <c r="H710" s="1"/>
      <c r="I710" s="1"/>
    </row>
    <row r="711" ht="13.5" customHeight="1">
      <c r="B711" s="1"/>
      <c r="C711" s="1"/>
      <c r="D711" s="1"/>
      <c r="E711" s="1"/>
      <c r="F711" s="1"/>
      <c r="G711" s="1"/>
      <c r="H711" s="1"/>
      <c r="I711" s="1"/>
    </row>
    <row r="712" ht="13.5" customHeight="1">
      <c r="B712" s="1"/>
      <c r="C712" s="1"/>
      <c r="D712" s="1"/>
      <c r="E712" s="1"/>
      <c r="F712" s="1"/>
      <c r="G712" s="1"/>
      <c r="H712" s="1"/>
      <c r="I712" s="1"/>
    </row>
    <row r="713" ht="13.5" customHeight="1">
      <c r="B713" s="1"/>
      <c r="C713" s="1"/>
      <c r="D713" s="1"/>
      <c r="E713" s="1"/>
      <c r="F713" s="1"/>
      <c r="G713" s="1"/>
      <c r="H713" s="1"/>
      <c r="I713" s="1"/>
    </row>
    <row r="714" ht="13.5" customHeight="1">
      <c r="B714" s="1"/>
      <c r="C714" s="1"/>
      <c r="D714" s="1"/>
      <c r="E714" s="1"/>
      <c r="F714" s="1"/>
      <c r="G714" s="1"/>
      <c r="H714" s="1"/>
      <c r="I714" s="1"/>
    </row>
    <row r="715" ht="13.5" customHeight="1">
      <c r="B715" s="1"/>
      <c r="C715" s="1"/>
      <c r="D715" s="1"/>
      <c r="E715" s="1"/>
      <c r="F715" s="1"/>
      <c r="G715" s="1"/>
      <c r="H715" s="1"/>
      <c r="I715" s="1"/>
    </row>
    <row r="716" ht="13.5" customHeight="1">
      <c r="B716" s="1"/>
      <c r="C716" s="1"/>
      <c r="D716" s="1"/>
      <c r="E716" s="1"/>
      <c r="F716" s="1"/>
      <c r="G716" s="1"/>
      <c r="H716" s="1"/>
      <c r="I716" s="1"/>
    </row>
    <row r="717" ht="13.5" customHeight="1">
      <c r="B717" s="1"/>
      <c r="C717" s="1"/>
      <c r="D717" s="1"/>
      <c r="E717" s="1"/>
      <c r="F717" s="1"/>
      <c r="G717" s="1"/>
      <c r="H717" s="1"/>
      <c r="I717" s="1"/>
    </row>
    <row r="718" ht="13.5" customHeight="1">
      <c r="B718" s="1"/>
      <c r="C718" s="1"/>
      <c r="D718" s="1"/>
      <c r="E718" s="1"/>
      <c r="F718" s="1"/>
      <c r="G718" s="1"/>
      <c r="H718" s="1"/>
      <c r="I718" s="1"/>
    </row>
    <row r="719" ht="13.5" customHeight="1">
      <c r="B719" s="1"/>
      <c r="C719" s="1"/>
      <c r="D719" s="1"/>
      <c r="E719" s="1"/>
      <c r="F719" s="1"/>
      <c r="G719" s="1"/>
      <c r="H719" s="1"/>
      <c r="I719" s="1"/>
    </row>
    <row r="720" ht="13.5" customHeight="1">
      <c r="B720" s="1"/>
      <c r="C720" s="1"/>
      <c r="D720" s="1"/>
      <c r="E720" s="1"/>
      <c r="F720" s="1"/>
      <c r="G720" s="1"/>
      <c r="H720" s="1"/>
      <c r="I720" s="1"/>
    </row>
    <row r="721" ht="13.5" customHeight="1">
      <c r="B721" s="1"/>
      <c r="C721" s="1"/>
      <c r="D721" s="1"/>
      <c r="E721" s="1"/>
      <c r="F721" s="1"/>
      <c r="G721" s="1"/>
      <c r="H721" s="1"/>
      <c r="I721" s="1"/>
    </row>
    <row r="722" ht="13.5" customHeight="1">
      <c r="B722" s="1"/>
      <c r="C722" s="1"/>
      <c r="D722" s="1"/>
      <c r="E722" s="1"/>
      <c r="F722" s="1"/>
      <c r="G722" s="1"/>
      <c r="H722" s="1"/>
      <c r="I722" s="1"/>
    </row>
    <row r="723" ht="13.5" customHeight="1">
      <c r="B723" s="1"/>
      <c r="C723" s="1"/>
      <c r="D723" s="1"/>
      <c r="E723" s="1"/>
      <c r="F723" s="1"/>
      <c r="G723" s="1"/>
      <c r="H723" s="1"/>
      <c r="I723" s="1"/>
    </row>
    <row r="724" ht="13.5" customHeight="1">
      <c r="B724" s="1"/>
      <c r="C724" s="1"/>
      <c r="D724" s="1"/>
      <c r="E724" s="1"/>
      <c r="F724" s="1"/>
      <c r="G724" s="1"/>
      <c r="H724" s="1"/>
      <c r="I724" s="1"/>
    </row>
    <row r="725" ht="13.5" customHeight="1">
      <c r="B725" s="1"/>
      <c r="C725" s="1"/>
      <c r="D725" s="1"/>
      <c r="E725" s="1"/>
      <c r="F725" s="1"/>
      <c r="G725" s="1"/>
      <c r="H725" s="1"/>
      <c r="I725" s="1"/>
    </row>
    <row r="726" ht="13.5" customHeight="1">
      <c r="B726" s="1"/>
      <c r="C726" s="1"/>
      <c r="D726" s="1"/>
      <c r="E726" s="1"/>
      <c r="F726" s="1"/>
      <c r="G726" s="1"/>
      <c r="H726" s="1"/>
      <c r="I726" s="1"/>
    </row>
    <row r="727" ht="13.5" customHeight="1">
      <c r="B727" s="1"/>
      <c r="C727" s="1"/>
      <c r="D727" s="1"/>
      <c r="E727" s="1"/>
      <c r="F727" s="1"/>
      <c r="G727" s="1"/>
      <c r="H727" s="1"/>
      <c r="I727" s="1"/>
    </row>
    <row r="728" ht="13.5" customHeight="1">
      <c r="B728" s="1"/>
      <c r="C728" s="1"/>
      <c r="D728" s="1"/>
      <c r="E728" s="1"/>
      <c r="F728" s="1"/>
      <c r="G728" s="1"/>
      <c r="H728" s="1"/>
      <c r="I728" s="1"/>
    </row>
    <row r="729" ht="13.5" customHeight="1">
      <c r="B729" s="1"/>
      <c r="C729" s="1"/>
      <c r="D729" s="1"/>
      <c r="E729" s="1"/>
      <c r="F729" s="1"/>
      <c r="G729" s="1"/>
      <c r="H729" s="1"/>
      <c r="I729" s="1"/>
    </row>
    <row r="730" ht="13.5" customHeight="1">
      <c r="B730" s="1"/>
      <c r="C730" s="1"/>
      <c r="D730" s="1"/>
      <c r="E730" s="1"/>
      <c r="F730" s="1"/>
      <c r="G730" s="1"/>
      <c r="H730" s="1"/>
      <c r="I730" s="1"/>
    </row>
    <row r="731" ht="13.5" customHeight="1">
      <c r="B731" s="1"/>
      <c r="C731" s="1"/>
      <c r="D731" s="1"/>
      <c r="E731" s="1"/>
      <c r="F731" s="1"/>
      <c r="G731" s="1"/>
      <c r="H731" s="1"/>
      <c r="I731" s="1"/>
    </row>
    <row r="732" ht="13.5" customHeight="1">
      <c r="B732" s="1"/>
      <c r="C732" s="1"/>
      <c r="D732" s="1"/>
      <c r="E732" s="1"/>
      <c r="F732" s="1"/>
      <c r="G732" s="1"/>
      <c r="H732" s="1"/>
      <c r="I732" s="1"/>
    </row>
    <row r="733" ht="13.5" customHeight="1">
      <c r="B733" s="1"/>
      <c r="C733" s="1"/>
      <c r="D733" s="1"/>
      <c r="E733" s="1"/>
      <c r="F733" s="1"/>
      <c r="G733" s="1"/>
      <c r="H733" s="1"/>
      <c r="I733" s="1"/>
    </row>
    <row r="734" ht="13.5" customHeight="1">
      <c r="B734" s="1"/>
      <c r="C734" s="1"/>
      <c r="D734" s="1"/>
      <c r="E734" s="1"/>
      <c r="F734" s="1"/>
      <c r="G734" s="1"/>
      <c r="H734" s="1"/>
      <c r="I734" s="1"/>
    </row>
    <row r="735" ht="13.5" customHeight="1">
      <c r="B735" s="1"/>
      <c r="C735" s="1"/>
      <c r="D735" s="1"/>
      <c r="E735" s="1"/>
      <c r="F735" s="1"/>
      <c r="G735" s="1"/>
      <c r="H735" s="1"/>
      <c r="I735" s="1"/>
    </row>
    <row r="736" ht="13.5" customHeight="1">
      <c r="B736" s="1"/>
      <c r="C736" s="1"/>
      <c r="D736" s="1"/>
      <c r="E736" s="1"/>
      <c r="F736" s="1"/>
      <c r="G736" s="1"/>
      <c r="H736" s="1"/>
      <c r="I736" s="1"/>
    </row>
    <row r="737" ht="13.5" customHeight="1">
      <c r="B737" s="1"/>
      <c r="C737" s="1"/>
      <c r="D737" s="1"/>
      <c r="E737" s="1"/>
      <c r="F737" s="1"/>
      <c r="G737" s="1"/>
      <c r="H737" s="1"/>
      <c r="I737" s="1"/>
    </row>
    <row r="738" ht="13.5" customHeight="1">
      <c r="B738" s="1"/>
      <c r="C738" s="1"/>
      <c r="D738" s="1"/>
      <c r="E738" s="1"/>
      <c r="F738" s="1"/>
      <c r="G738" s="1"/>
      <c r="H738" s="1"/>
      <c r="I738" s="1"/>
    </row>
    <row r="739" ht="13.5" customHeight="1">
      <c r="B739" s="1"/>
      <c r="C739" s="1"/>
      <c r="D739" s="1"/>
      <c r="E739" s="1"/>
      <c r="F739" s="1"/>
      <c r="G739" s="1"/>
      <c r="H739" s="1"/>
      <c r="I739" s="1"/>
    </row>
    <row r="740" ht="13.5" customHeight="1">
      <c r="B740" s="1"/>
      <c r="C740" s="1"/>
      <c r="D740" s="1"/>
      <c r="E740" s="1"/>
      <c r="F740" s="1"/>
      <c r="G740" s="1"/>
      <c r="H740" s="1"/>
      <c r="I740" s="1"/>
    </row>
    <row r="741" ht="13.5" customHeight="1">
      <c r="B741" s="1"/>
      <c r="C741" s="1"/>
      <c r="D741" s="1"/>
      <c r="E741" s="1"/>
      <c r="F741" s="1"/>
      <c r="G741" s="1"/>
      <c r="H741" s="1"/>
      <c r="I741" s="1"/>
    </row>
    <row r="742" ht="13.5" customHeight="1">
      <c r="B742" s="1"/>
      <c r="C742" s="1"/>
      <c r="D742" s="1"/>
      <c r="E742" s="1"/>
      <c r="F742" s="1"/>
      <c r="G742" s="1"/>
      <c r="H742" s="1"/>
      <c r="I742" s="1"/>
    </row>
    <row r="743" ht="13.5" customHeight="1">
      <c r="B743" s="1"/>
      <c r="C743" s="1"/>
      <c r="D743" s="1"/>
      <c r="E743" s="1"/>
      <c r="F743" s="1"/>
      <c r="G743" s="1"/>
      <c r="H743" s="1"/>
      <c r="I743" s="1"/>
    </row>
    <row r="744" ht="13.5" customHeight="1">
      <c r="B744" s="1"/>
      <c r="C744" s="1"/>
      <c r="D744" s="1"/>
      <c r="E744" s="1"/>
      <c r="F744" s="1"/>
      <c r="G744" s="1"/>
      <c r="H744" s="1"/>
      <c r="I744" s="1"/>
    </row>
    <row r="745" ht="13.5" customHeight="1">
      <c r="B745" s="1"/>
      <c r="C745" s="1"/>
      <c r="D745" s="1"/>
      <c r="E745" s="1"/>
      <c r="F745" s="1"/>
      <c r="G745" s="1"/>
      <c r="H745" s="1"/>
      <c r="I745" s="1"/>
    </row>
    <row r="746" ht="13.5" customHeight="1">
      <c r="B746" s="1"/>
      <c r="C746" s="1"/>
      <c r="D746" s="1"/>
      <c r="E746" s="1"/>
      <c r="F746" s="1"/>
      <c r="G746" s="1"/>
      <c r="H746" s="1"/>
      <c r="I746" s="1"/>
    </row>
    <row r="747" ht="13.5" customHeight="1">
      <c r="B747" s="1"/>
      <c r="C747" s="1"/>
      <c r="D747" s="1"/>
      <c r="E747" s="1"/>
      <c r="F747" s="1"/>
      <c r="G747" s="1"/>
      <c r="H747" s="1"/>
      <c r="I747" s="1"/>
    </row>
    <row r="748" ht="13.5" customHeight="1">
      <c r="B748" s="1"/>
      <c r="C748" s="1"/>
      <c r="D748" s="1"/>
      <c r="E748" s="1"/>
      <c r="F748" s="1"/>
      <c r="G748" s="1"/>
      <c r="H748" s="1"/>
      <c r="I748" s="1"/>
    </row>
    <row r="749" ht="13.5" customHeight="1">
      <c r="B749" s="1"/>
      <c r="C749" s="1"/>
      <c r="D749" s="1"/>
      <c r="E749" s="1"/>
      <c r="F749" s="1"/>
      <c r="G749" s="1"/>
      <c r="H749" s="1"/>
      <c r="I749" s="1"/>
    </row>
    <row r="750" ht="13.5" customHeight="1">
      <c r="B750" s="1"/>
      <c r="C750" s="1"/>
      <c r="D750" s="1"/>
      <c r="E750" s="1"/>
      <c r="F750" s="1"/>
      <c r="G750" s="1"/>
      <c r="H750" s="1"/>
      <c r="I750" s="1"/>
    </row>
    <row r="751" ht="13.5" customHeight="1">
      <c r="B751" s="1"/>
      <c r="C751" s="1"/>
      <c r="D751" s="1"/>
      <c r="E751" s="1"/>
      <c r="F751" s="1"/>
      <c r="G751" s="1"/>
      <c r="H751" s="1"/>
      <c r="I751" s="1"/>
    </row>
    <row r="752" ht="13.5" customHeight="1">
      <c r="B752" s="1"/>
      <c r="C752" s="1"/>
      <c r="D752" s="1"/>
      <c r="E752" s="1"/>
      <c r="F752" s="1"/>
      <c r="G752" s="1"/>
      <c r="H752" s="1"/>
      <c r="I752" s="1"/>
    </row>
    <row r="753" ht="13.5" customHeight="1">
      <c r="B753" s="1"/>
      <c r="C753" s="1"/>
      <c r="D753" s="1"/>
      <c r="E753" s="1"/>
      <c r="F753" s="1"/>
      <c r="G753" s="1"/>
      <c r="H753" s="1"/>
      <c r="I753" s="1"/>
    </row>
    <row r="754" ht="13.5" customHeight="1">
      <c r="B754" s="1"/>
      <c r="C754" s="1"/>
      <c r="D754" s="1"/>
      <c r="E754" s="1"/>
      <c r="F754" s="1"/>
      <c r="G754" s="1"/>
      <c r="H754" s="1"/>
      <c r="I754" s="1"/>
    </row>
    <row r="755" ht="13.5" customHeight="1">
      <c r="B755" s="1"/>
      <c r="C755" s="1"/>
      <c r="D755" s="1"/>
      <c r="E755" s="1"/>
      <c r="F755" s="1"/>
      <c r="G755" s="1"/>
      <c r="H755" s="1"/>
      <c r="I755" s="1"/>
    </row>
    <row r="756" ht="13.5" customHeight="1">
      <c r="B756" s="1"/>
      <c r="C756" s="1"/>
      <c r="D756" s="1"/>
      <c r="E756" s="1"/>
      <c r="F756" s="1"/>
      <c r="G756" s="1"/>
      <c r="H756" s="1"/>
      <c r="I756" s="1"/>
    </row>
    <row r="757" ht="13.5" customHeight="1">
      <c r="B757" s="1"/>
      <c r="C757" s="1"/>
      <c r="D757" s="1"/>
      <c r="E757" s="1"/>
      <c r="F757" s="1"/>
      <c r="G757" s="1"/>
      <c r="H757" s="1"/>
      <c r="I757" s="1"/>
    </row>
    <row r="758" ht="13.5" customHeight="1">
      <c r="B758" s="1"/>
      <c r="C758" s="1"/>
      <c r="D758" s="1"/>
      <c r="E758" s="1"/>
      <c r="F758" s="1"/>
      <c r="G758" s="1"/>
      <c r="H758" s="1"/>
      <c r="I758" s="1"/>
    </row>
    <row r="759" ht="13.5" customHeight="1">
      <c r="B759" s="1"/>
      <c r="C759" s="1"/>
      <c r="D759" s="1"/>
      <c r="E759" s="1"/>
      <c r="F759" s="1"/>
      <c r="G759" s="1"/>
      <c r="H759" s="1"/>
      <c r="I759" s="1"/>
    </row>
    <row r="760" ht="13.5" customHeight="1">
      <c r="B760" s="1"/>
      <c r="C760" s="1"/>
      <c r="D760" s="1"/>
      <c r="E760" s="1"/>
      <c r="F760" s="1"/>
      <c r="G760" s="1"/>
      <c r="H760" s="1"/>
      <c r="I760" s="1"/>
    </row>
    <row r="761" ht="13.5" customHeight="1">
      <c r="B761" s="1"/>
      <c r="C761" s="1"/>
      <c r="D761" s="1"/>
      <c r="E761" s="1"/>
      <c r="F761" s="1"/>
      <c r="G761" s="1"/>
      <c r="H761" s="1"/>
      <c r="I761" s="1"/>
    </row>
    <row r="762" ht="13.5" customHeight="1">
      <c r="B762" s="1"/>
      <c r="C762" s="1"/>
      <c r="D762" s="1"/>
      <c r="E762" s="1"/>
      <c r="F762" s="1"/>
      <c r="G762" s="1"/>
      <c r="H762" s="1"/>
      <c r="I762" s="1"/>
    </row>
    <row r="763" ht="13.5" customHeight="1">
      <c r="B763" s="1"/>
      <c r="C763" s="1"/>
      <c r="D763" s="1"/>
      <c r="E763" s="1"/>
      <c r="F763" s="1"/>
      <c r="G763" s="1"/>
      <c r="H763" s="1"/>
      <c r="I763" s="1"/>
    </row>
    <row r="764" ht="13.5" customHeight="1">
      <c r="B764" s="1"/>
      <c r="C764" s="1"/>
      <c r="D764" s="1"/>
      <c r="E764" s="1"/>
      <c r="F764" s="1"/>
      <c r="G764" s="1"/>
      <c r="H764" s="1"/>
      <c r="I764" s="1"/>
    </row>
    <row r="765" ht="13.5" customHeight="1">
      <c r="B765" s="1"/>
      <c r="C765" s="1"/>
      <c r="D765" s="1"/>
      <c r="E765" s="1"/>
      <c r="F765" s="1"/>
      <c r="G765" s="1"/>
      <c r="H765" s="1"/>
      <c r="I765" s="1"/>
    </row>
    <row r="766" ht="13.5" customHeight="1">
      <c r="B766" s="1"/>
      <c r="C766" s="1"/>
      <c r="D766" s="1"/>
      <c r="E766" s="1"/>
      <c r="F766" s="1"/>
      <c r="G766" s="1"/>
      <c r="H766" s="1"/>
      <c r="I766" s="1"/>
    </row>
    <row r="767" ht="13.5" customHeight="1">
      <c r="B767" s="1"/>
      <c r="C767" s="1"/>
      <c r="D767" s="1"/>
      <c r="E767" s="1"/>
      <c r="F767" s="1"/>
      <c r="G767" s="1"/>
      <c r="H767" s="1"/>
      <c r="I767" s="1"/>
    </row>
    <row r="768" ht="13.5" customHeight="1">
      <c r="B768" s="1"/>
      <c r="C768" s="1"/>
      <c r="D768" s="1"/>
      <c r="E768" s="1"/>
      <c r="F768" s="1"/>
      <c r="G768" s="1"/>
      <c r="H768" s="1"/>
      <c r="I768" s="1"/>
    </row>
    <row r="769" ht="13.5" customHeight="1">
      <c r="B769" s="1"/>
      <c r="C769" s="1"/>
      <c r="D769" s="1"/>
      <c r="E769" s="1"/>
      <c r="F769" s="1"/>
      <c r="G769" s="1"/>
      <c r="H769" s="1"/>
      <c r="I769" s="1"/>
    </row>
    <row r="770" ht="13.5" customHeight="1">
      <c r="B770" s="1"/>
      <c r="C770" s="1"/>
      <c r="D770" s="1"/>
      <c r="E770" s="1"/>
      <c r="F770" s="1"/>
      <c r="G770" s="1"/>
      <c r="H770" s="1"/>
      <c r="I770" s="1"/>
    </row>
    <row r="771" ht="13.5" customHeight="1">
      <c r="B771" s="1"/>
      <c r="C771" s="1"/>
      <c r="D771" s="1"/>
      <c r="E771" s="1"/>
      <c r="F771" s="1"/>
      <c r="G771" s="1"/>
      <c r="H771" s="1"/>
      <c r="I771" s="1"/>
    </row>
    <row r="772" ht="13.5" customHeight="1">
      <c r="B772" s="1"/>
      <c r="C772" s="1"/>
      <c r="D772" s="1"/>
      <c r="E772" s="1"/>
      <c r="F772" s="1"/>
      <c r="G772" s="1"/>
      <c r="H772" s="1"/>
      <c r="I772" s="1"/>
    </row>
    <row r="773" ht="13.5" customHeight="1">
      <c r="B773" s="1"/>
      <c r="C773" s="1"/>
      <c r="D773" s="1"/>
      <c r="E773" s="1"/>
      <c r="F773" s="1"/>
      <c r="G773" s="1"/>
      <c r="H773" s="1"/>
      <c r="I773" s="1"/>
    </row>
    <row r="774" ht="13.5" customHeight="1">
      <c r="B774" s="1"/>
      <c r="C774" s="1"/>
      <c r="D774" s="1"/>
      <c r="E774" s="1"/>
      <c r="F774" s="1"/>
      <c r="G774" s="1"/>
      <c r="H774" s="1"/>
      <c r="I774" s="1"/>
    </row>
    <row r="775" ht="13.5" customHeight="1">
      <c r="B775" s="1"/>
      <c r="C775" s="1"/>
      <c r="D775" s="1"/>
      <c r="E775" s="1"/>
      <c r="F775" s="1"/>
      <c r="G775" s="1"/>
      <c r="H775" s="1"/>
      <c r="I775" s="1"/>
    </row>
    <row r="776" ht="13.5" customHeight="1">
      <c r="B776" s="1"/>
      <c r="C776" s="1"/>
      <c r="D776" s="1"/>
      <c r="E776" s="1"/>
      <c r="F776" s="1"/>
      <c r="G776" s="1"/>
      <c r="H776" s="1"/>
      <c r="I776" s="1"/>
    </row>
    <row r="777" ht="13.5" customHeight="1">
      <c r="B777" s="1"/>
      <c r="C777" s="1"/>
      <c r="D777" s="1"/>
      <c r="E777" s="1"/>
      <c r="F777" s="1"/>
      <c r="G777" s="1"/>
      <c r="H777" s="1"/>
      <c r="I777" s="1"/>
    </row>
    <row r="778" ht="13.5" customHeight="1">
      <c r="B778" s="1"/>
      <c r="C778" s="1"/>
      <c r="D778" s="1"/>
      <c r="E778" s="1"/>
      <c r="F778" s="1"/>
      <c r="G778" s="1"/>
      <c r="H778" s="1"/>
      <c r="I778" s="1"/>
    </row>
    <row r="779" ht="13.5" customHeight="1">
      <c r="B779" s="1"/>
      <c r="C779" s="1"/>
      <c r="D779" s="1"/>
      <c r="E779" s="1"/>
      <c r="F779" s="1"/>
      <c r="G779" s="1"/>
      <c r="H779" s="1"/>
      <c r="I779" s="1"/>
    </row>
    <row r="780" ht="13.5" customHeight="1">
      <c r="B780" s="1"/>
      <c r="C780" s="1"/>
      <c r="D780" s="1"/>
      <c r="E780" s="1"/>
      <c r="F780" s="1"/>
      <c r="G780" s="1"/>
      <c r="H780" s="1"/>
      <c r="I780" s="1"/>
    </row>
    <row r="781" ht="13.5" customHeight="1">
      <c r="B781" s="1"/>
      <c r="C781" s="1"/>
      <c r="D781" s="1"/>
      <c r="E781" s="1"/>
      <c r="F781" s="1"/>
      <c r="G781" s="1"/>
      <c r="H781" s="1"/>
      <c r="I781" s="1"/>
    </row>
    <row r="782" ht="13.5" customHeight="1">
      <c r="B782" s="1"/>
      <c r="C782" s="1"/>
      <c r="D782" s="1"/>
      <c r="E782" s="1"/>
      <c r="F782" s="1"/>
      <c r="G782" s="1"/>
      <c r="H782" s="1"/>
      <c r="I782" s="1"/>
    </row>
    <row r="783" ht="13.5" customHeight="1">
      <c r="B783" s="1"/>
      <c r="C783" s="1"/>
      <c r="D783" s="1"/>
      <c r="E783" s="1"/>
      <c r="F783" s="1"/>
      <c r="G783" s="1"/>
      <c r="H783" s="1"/>
      <c r="I783" s="1"/>
    </row>
    <row r="784" ht="13.5" customHeight="1">
      <c r="B784" s="1"/>
      <c r="C784" s="1"/>
      <c r="D784" s="1"/>
      <c r="E784" s="1"/>
      <c r="F784" s="1"/>
      <c r="G784" s="1"/>
      <c r="H784" s="1"/>
      <c r="I784" s="1"/>
    </row>
    <row r="785" ht="13.5" customHeight="1">
      <c r="B785" s="1"/>
      <c r="C785" s="1"/>
      <c r="D785" s="1"/>
      <c r="E785" s="1"/>
      <c r="F785" s="1"/>
      <c r="G785" s="1"/>
      <c r="H785" s="1"/>
      <c r="I785" s="1"/>
    </row>
    <row r="786" ht="13.5" customHeight="1">
      <c r="B786" s="1"/>
      <c r="C786" s="1"/>
      <c r="D786" s="1"/>
      <c r="E786" s="1"/>
      <c r="F786" s="1"/>
      <c r="G786" s="1"/>
      <c r="H786" s="1"/>
      <c r="I786" s="1"/>
    </row>
    <row r="787" ht="13.5" customHeight="1">
      <c r="B787" s="1"/>
      <c r="C787" s="1"/>
      <c r="D787" s="1"/>
      <c r="E787" s="1"/>
      <c r="F787" s="1"/>
      <c r="G787" s="1"/>
      <c r="H787" s="1"/>
      <c r="I787" s="1"/>
    </row>
    <row r="788" ht="13.5" customHeight="1">
      <c r="B788" s="1"/>
      <c r="C788" s="1"/>
      <c r="D788" s="1"/>
      <c r="E788" s="1"/>
      <c r="F788" s="1"/>
      <c r="G788" s="1"/>
      <c r="H788" s="1"/>
      <c r="I788" s="1"/>
    </row>
    <row r="789" ht="13.5" customHeight="1">
      <c r="B789" s="1"/>
      <c r="C789" s="1"/>
      <c r="D789" s="1"/>
      <c r="E789" s="1"/>
      <c r="F789" s="1"/>
      <c r="G789" s="1"/>
      <c r="H789" s="1"/>
      <c r="I789" s="1"/>
    </row>
    <row r="790" ht="13.5" customHeight="1">
      <c r="B790" s="1"/>
      <c r="C790" s="1"/>
      <c r="D790" s="1"/>
      <c r="E790" s="1"/>
      <c r="F790" s="1"/>
      <c r="G790" s="1"/>
      <c r="H790" s="1"/>
      <c r="I790" s="1"/>
    </row>
    <row r="791" ht="13.5" customHeight="1">
      <c r="B791" s="1"/>
      <c r="C791" s="1"/>
      <c r="D791" s="1"/>
      <c r="E791" s="1"/>
      <c r="F791" s="1"/>
      <c r="G791" s="1"/>
      <c r="H791" s="1"/>
      <c r="I791" s="1"/>
    </row>
    <row r="792" ht="13.5" customHeight="1">
      <c r="B792" s="1"/>
      <c r="C792" s="1"/>
      <c r="D792" s="1"/>
      <c r="E792" s="1"/>
      <c r="F792" s="1"/>
      <c r="G792" s="1"/>
      <c r="H792" s="1"/>
      <c r="I792" s="1"/>
    </row>
    <row r="793" ht="13.5" customHeight="1">
      <c r="B793" s="1"/>
      <c r="C793" s="1"/>
      <c r="D793" s="1"/>
      <c r="E793" s="1"/>
      <c r="F793" s="1"/>
      <c r="G793" s="1"/>
      <c r="H793" s="1"/>
      <c r="I793" s="1"/>
    </row>
    <row r="794" ht="13.5" customHeight="1">
      <c r="B794" s="1"/>
      <c r="C794" s="1"/>
      <c r="D794" s="1"/>
      <c r="E794" s="1"/>
      <c r="F794" s="1"/>
      <c r="G794" s="1"/>
      <c r="H794" s="1"/>
      <c r="I794" s="1"/>
    </row>
    <row r="795" ht="13.5" customHeight="1">
      <c r="B795" s="1"/>
      <c r="C795" s="1"/>
      <c r="D795" s="1"/>
      <c r="E795" s="1"/>
      <c r="F795" s="1"/>
      <c r="G795" s="1"/>
      <c r="H795" s="1"/>
      <c r="I795" s="1"/>
    </row>
    <row r="796" ht="13.5" customHeight="1">
      <c r="B796" s="1"/>
      <c r="C796" s="1"/>
      <c r="D796" s="1"/>
      <c r="E796" s="1"/>
      <c r="F796" s="1"/>
      <c r="G796" s="1"/>
      <c r="H796" s="1"/>
      <c r="I796" s="1"/>
    </row>
    <row r="797" ht="13.5" customHeight="1">
      <c r="B797" s="1"/>
      <c r="C797" s="1"/>
      <c r="D797" s="1"/>
      <c r="E797" s="1"/>
      <c r="F797" s="1"/>
      <c r="G797" s="1"/>
      <c r="H797" s="1"/>
      <c r="I797" s="1"/>
    </row>
    <row r="798" ht="13.5" customHeight="1">
      <c r="B798" s="1"/>
      <c r="C798" s="1"/>
      <c r="D798" s="1"/>
      <c r="E798" s="1"/>
      <c r="F798" s="1"/>
      <c r="G798" s="1"/>
      <c r="H798" s="1"/>
      <c r="I798" s="1"/>
    </row>
    <row r="799" ht="13.5" customHeight="1">
      <c r="B799" s="1"/>
      <c r="C799" s="1"/>
      <c r="D799" s="1"/>
      <c r="E799" s="1"/>
      <c r="F799" s="1"/>
      <c r="G799" s="1"/>
      <c r="H799" s="1"/>
      <c r="I799" s="1"/>
    </row>
    <row r="800" ht="13.5" customHeight="1">
      <c r="B800" s="1"/>
      <c r="C800" s="1"/>
      <c r="D800" s="1"/>
      <c r="E800" s="1"/>
      <c r="F800" s="1"/>
      <c r="G800" s="1"/>
      <c r="H800" s="1"/>
      <c r="I800" s="1"/>
    </row>
    <row r="801" ht="13.5" customHeight="1">
      <c r="B801" s="1"/>
      <c r="C801" s="1"/>
      <c r="D801" s="1"/>
      <c r="E801" s="1"/>
      <c r="F801" s="1"/>
      <c r="G801" s="1"/>
      <c r="H801" s="1"/>
      <c r="I801" s="1"/>
    </row>
    <row r="802" ht="13.5" customHeight="1">
      <c r="B802" s="1"/>
      <c r="C802" s="1"/>
      <c r="D802" s="1"/>
      <c r="E802" s="1"/>
      <c r="F802" s="1"/>
      <c r="G802" s="1"/>
      <c r="H802" s="1"/>
      <c r="I802" s="1"/>
    </row>
    <row r="803" ht="13.5" customHeight="1">
      <c r="B803" s="1"/>
      <c r="C803" s="1"/>
      <c r="D803" s="1"/>
      <c r="E803" s="1"/>
      <c r="F803" s="1"/>
      <c r="G803" s="1"/>
      <c r="H803" s="1"/>
      <c r="I803" s="1"/>
    </row>
    <row r="804" ht="13.5" customHeight="1">
      <c r="B804" s="1"/>
      <c r="C804" s="1"/>
      <c r="D804" s="1"/>
      <c r="E804" s="1"/>
      <c r="F804" s="1"/>
      <c r="G804" s="1"/>
      <c r="H804" s="1"/>
      <c r="I804" s="1"/>
    </row>
    <row r="805" ht="13.5" customHeight="1">
      <c r="B805" s="1"/>
      <c r="C805" s="1"/>
      <c r="D805" s="1"/>
      <c r="E805" s="1"/>
      <c r="F805" s="1"/>
      <c r="G805" s="1"/>
      <c r="H805" s="1"/>
      <c r="I805" s="1"/>
    </row>
    <row r="806" ht="13.5" customHeight="1">
      <c r="B806" s="1"/>
      <c r="C806" s="1"/>
      <c r="D806" s="1"/>
      <c r="E806" s="1"/>
      <c r="F806" s="1"/>
      <c r="G806" s="1"/>
      <c r="H806" s="1"/>
      <c r="I806" s="1"/>
    </row>
    <row r="807" ht="13.5" customHeight="1">
      <c r="B807" s="1"/>
      <c r="C807" s="1"/>
      <c r="D807" s="1"/>
      <c r="E807" s="1"/>
      <c r="F807" s="1"/>
      <c r="G807" s="1"/>
      <c r="H807" s="1"/>
      <c r="I807" s="1"/>
    </row>
    <row r="808" ht="13.5" customHeight="1">
      <c r="B808" s="1"/>
      <c r="C808" s="1"/>
      <c r="D808" s="1"/>
      <c r="E808" s="1"/>
      <c r="F808" s="1"/>
      <c r="G808" s="1"/>
      <c r="H808" s="1"/>
      <c r="I808" s="1"/>
    </row>
    <row r="809" ht="13.5" customHeight="1">
      <c r="B809" s="1"/>
      <c r="C809" s="1"/>
      <c r="D809" s="1"/>
      <c r="E809" s="1"/>
      <c r="F809" s="1"/>
      <c r="G809" s="1"/>
      <c r="H809" s="1"/>
      <c r="I809" s="1"/>
    </row>
    <row r="810" ht="13.5" customHeight="1">
      <c r="B810" s="1"/>
      <c r="C810" s="1"/>
      <c r="D810" s="1"/>
      <c r="E810" s="1"/>
      <c r="F810" s="1"/>
      <c r="G810" s="1"/>
      <c r="H810" s="1"/>
      <c r="I810" s="1"/>
    </row>
    <row r="811" ht="13.5" customHeight="1">
      <c r="B811" s="1"/>
      <c r="C811" s="1"/>
      <c r="D811" s="1"/>
      <c r="E811" s="1"/>
      <c r="F811" s="1"/>
      <c r="G811" s="1"/>
      <c r="H811" s="1"/>
      <c r="I811" s="1"/>
    </row>
    <row r="812" ht="13.5" customHeight="1">
      <c r="B812" s="1"/>
      <c r="C812" s="1"/>
      <c r="D812" s="1"/>
      <c r="E812" s="1"/>
      <c r="F812" s="1"/>
      <c r="G812" s="1"/>
      <c r="H812" s="1"/>
      <c r="I812" s="1"/>
    </row>
    <row r="813" ht="13.5" customHeight="1">
      <c r="B813" s="1"/>
      <c r="C813" s="1"/>
      <c r="D813" s="1"/>
      <c r="E813" s="1"/>
      <c r="F813" s="1"/>
      <c r="G813" s="1"/>
      <c r="H813" s="1"/>
      <c r="I813" s="1"/>
    </row>
    <row r="814" ht="13.5" customHeight="1">
      <c r="B814" s="1"/>
      <c r="C814" s="1"/>
      <c r="D814" s="1"/>
      <c r="E814" s="1"/>
      <c r="F814" s="1"/>
      <c r="G814" s="1"/>
      <c r="H814" s="1"/>
      <c r="I814" s="1"/>
    </row>
    <row r="815" ht="13.5" customHeight="1">
      <c r="B815" s="1"/>
      <c r="C815" s="1"/>
      <c r="D815" s="1"/>
      <c r="E815" s="1"/>
      <c r="F815" s="1"/>
      <c r="G815" s="1"/>
      <c r="H815" s="1"/>
      <c r="I815" s="1"/>
    </row>
    <row r="816" ht="13.5" customHeight="1">
      <c r="B816" s="1"/>
      <c r="C816" s="1"/>
      <c r="D816" s="1"/>
      <c r="E816" s="1"/>
      <c r="F816" s="1"/>
      <c r="G816" s="1"/>
      <c r="H816" s="1"/>
      <c r="I816" s="1"/>
    </row>
    <row r="817" ht="13.5" customHeight="1">
      <c r="B817" s="1"/>
      <c r="C817" s="1"/>
      <c r="D817" s="1"/>
      <c r="E817" s="1"/>
      <c r="F817" s="1"/>
      <c r="G817" s="1"/>
      <c r="H817" s="1"/>
      <c r="I817" s="1"/>
    </row>
    <row r="818" ht="13.5" customHeight="1">
      <c r="B818" s="1"/>
      <c r="C818" s="1"/>
      <c r="D818" s="1"/>
      <c r="E818" s="1"/>
      <c r="F818" s="1"/>
      <c r="G818" s="1"/>
      <c r="H818" s="1"/>
      <c r="I818" s="1"/>
    </row>
    <row r="819" ht="13.5" customHeight="1">
      <c r="B819" s="1"/>
      <c r="C819" s="1"/>
      <c r="D819" s="1"/>
      <c r="E819" s="1"/>
      <c r="F819" s="1"/>
      <c r="G819" s="1"/>
      <c r="H819" s="1"/>
      <c r="I819" s="1"/>
    </row>
    <row r="820" ht="13.5" customHeight="1">
      <c r="B820" s="1"/>
      <c r="C820" s="1"/>
      <c r="D820" s="1"/>
      <c r="E820" s="1"/>
      <c r="F820" s="1"/>
      <c r="G820" s="1"/>
      <c r="H820" s="1"/>
      <c r="I820" s="1"/>
    </row>
    <row r="821" ht="13.5" customHeight="1">
      <c r="B821" s="1"/>
      <c r="C821" s="1"/>
      <c r="D821" s="1"/>
      <c r="E821" s="1"/>
      <c r="F821" s="1"/>
      <c r="G821" s="1"/>
      <c r="H821" s="1"/>
      <c r="I821" s="1"/>
    </row>
    <row r="822" ht="13.5" customHeight="1">
      <c r="B822" s="1"/>
      <c r="C822" s="1"/>
      <c r="D822" s="1"/>
      <c r="E822" s="1"/>
      <c r="F822" s="1"/>
      <c r="G822" s="1"/>
      <c r="H822" s="1"/>
      <c r="I822" s="1"/>
    </row>
    <row r="823" ht="13.5" customHeight="1">
      <c r="B823" s="1"/>
      <c r="C823" s="1"/>
      <c r="D823" s="1"/>
      <c r="E823" s="1"/>
      <c r="F823" s="1"/>
      <c r="G823" s="1"/>
      <c r="H823" s="1"/>
      <c r="I823" s="1"/>
    </row>
    <row r="824" ht="13.5" customHeight="1">
      <c r="B824" s="1"/>
      <c r="C824" s="1"/>
      <c r="D824" s="1"/>
      <c r="E824" s="1"/>
      <c r="F824" s="1"/>
      <c r="G824" s="1"/>
      <c r="H824" s="1"/>
      <c r="I824" s="1"/>
    </row>
    <row r="825" ht="13.5" customHeight="1">
      <c r="B825" s="1"/>
      <c r="C825" s="1"/>
      <c r="D825" s="1"/>
      <c r="E825" s="1"/>
      <c r="F825" s="1"/>
      <c r="G825" s="1"/>
      <c r="H825" s="1"/>
      <c r="I825" s="1"/>
    </row>
    <row r="826" ht="13.5" customHeight="1">
      <c r="B826" s="1"/>
      <c r="C826" s="1"/>
      <c r="D826" s="1"/>
      <c r="E826" s="1"/>
      <c r="F826" s="1"/>
      <c r="G826" s="1"/>
      <c r="H826" s="1"/>
      <c r="I826" s="1"/>
    </row>
    <row r="827" ht="13.5" customHeight="1">
      <c r="B827" s="1"/>
      <c r="C827" s="1"/>
      <c r="D827" s="1"/>
      <c r="E827" s="1"/>
      <c r="F827" s="1"/>
      <c r="G827" s="1"/>
      <c r="H827" s="1"/>
      <c r="I827" s="1"/>
    </row>
    <row r="828" ht="13.5" customHeight="1">
      <c r="B828" s="1"/>
      <c r="C828" s="1"/>
      <c r="D828" s="1"/>
      <c r="E828" s="1"/>
      <c r="F828" s="1"/>
      <c r="G828" s="1"/>
      <c r="H828" s="1"/>
      <c r="I828" s="1"/>
    </row>
    <row r="829" ht="13.5" customHeight="1">
      <c r="B829" s="1"/>
      <c r="C829" s="1"/>
      <c r="D829" s="1"/>
      <c r="E829" s="1"/>
      <c r="F829" s="1"/>
      <c r="G829" s="1"/>
      <c r="H829" s="1"/>
      <c r="I829" s="1"/>
    </row>
    <row r="830" ht="13.5" customHeight="1">
      <c r="B830" s="1"/>
      <c r="C830" s="1"/>
      <c r="D830" s="1"/>
      <c r="E830" s="1"/>
      <c r="F830" s="1"/>
      <c r="G830" s="1"/>
      <c r="H830" s="1"/>
      <c r="I830" s="1"/>
    </row>
    <row r="831" ht="13.5" customHeight="1">
      <c r="B831" s="1"/>
      <c r="C831" s="1"/>
      <c r="D831" s="1"/>
      <c r="E831" s="1"/>
      <c r="F831" s="1"/>
      <c r="G831" s="1"/>
      <c r="H831" s="1"/>
      <c r="I831" s="1"/>
    </row>
    <row r="832" ht="13.5" customHeight="1">
      <c r="B832" s="1"/>
      <c r="C832" s="1"/>
      <c r="D832" s="1"/>
      <c r="E832" s="1"/>
      <c r="F832" s="1"/>
      <c r="G832" s="1"/>
      <c r="H832" s="1"/>
      <c r="I832" s="1"/>
    </row>
    <row r="833" ht="13.5" customHeight="1">
      <c r="B833" s="1"/>
      <c r="C833" s="1"/>
      <c r="D833" s="1"/>
      <c r="E833" s="1"/>
      <c r="F833" s="1"/>
      <c r="G833" s="1"/>
      <c r="H833" s="1"/>
      <c r="I833" s="1"/>
    </row>
    <row r="834" ht="13.5" customHeight="1">
      <c r="B834" s="1"/>
      <c r="C834" s="1"/>
      <c r="D834" s="1"/>
      <c r="E834" s="1"/>
      <c r="F834" s="1"/>
      <c r="G834" s="1"/>
      <c r="H834" s="1"/>
      <c r="I834" s="1"/>
    </row>
    <row r="835" ht="13.5" customHeight="1">
      <c r="B835" s="1"/>
      <c r="C835" s="1"/>
      <c r="D835" s="1"/>
      <c r="E835" s="1"/>
      <c r="F835" s="1"/>
      <c r="G835" s="1"/>
      <c r="H835" s="1"/>
      <c r="I835" s="1"/>
    </row>
    <row r="836" ht="13.5" customHeight="1">
      <c r="B836" s="1"/>
      <c r="C836" s="1"/>
      <c r="D836" s="1"/>
      <c r="E836" s="1"/>
      <c r="F836" s="1"/>
      <c r="G836" s="1"/>
      <c r="H836" s="1"/>
      <c r="I836" s="1"/>
    </row>
    <row r="837" ht="13.5" customHeight="1">
      <c r="B837" s="1"/>
      <c r="C837" s="1"/>
      <c r="D837" s="1"/>
      <c r="E837" s="1"/>
      <c r="F837" s="1"/>
      <c r="G837" s="1"/>
      <c r="H837" s="1"/>
      <c r="I837" s="1"/>
    </row>
    <row r="838" ht="13.5" customHeight="1">
      <c r="B838" s="1"/>
      <c r="C838" s="1"/>
      <c r="D838" s="1"/>
      <c r="E838" s="1"/>
      <c r="F838" s="1"/>
      <c r="G838" s="1"/>
      <c r="H838" s="1"/>
      <c r="I838" s="1"/>
    </row>
    <row r="839" ht="13.5" customHeight="1">
      <c r="B839" s="1"/>
      <c r="C839" s="1"/>
      <c r="D839" s="1"/>
      <c r="E839" s="1"/>
      <c r="F839" s="1"/>
      <c r="G839" s="1"/>
      <c r="H839" s="1"/>
      <c r="I839" s="1"/>
    </row>
    <row r="840" ht="13.5" customHeight="1">
      <c r="B840" s="1"/>
      <c r="C840" s="1"/>
      <c r="D840" s="1"/>
      <c r="E840" s="1"/>
      <c r="F840" s="1"/>
      <c r="G840" s="1"/>
      <c r="H840" s="1"/>
      <c r="I840" s="1"/>
    </row>
    <row r="841" ht="13.5" customHeight="1">
      <c r="B841" s="1"/>
      <c r="C841" s="1"/>
      <c r="D841" s="1"/>
      <c r="E841" s="1"/>
      <c r="F841" s="1"/>
      <c r="G841" s="1"/>
      <c r="H841" s="1"/>
      <c r="I841" s="1"/>
    </row>
    <row r="842" ht="13.5" customHeight="1">
      <c r="B842" s="1"/>
      <c r="C842" s="1"/>
      <c r="D842" s="1"/>
      <c r="E842" s="1"/>
      <c r="F842" s="1"/>
      <c r="G842" s="1"/>
      <c r="H842" s="1"/>
      <c r="I842" s="1"/>
    </row>
    <row r="843" ht="13.5" customHeight="1">
      <c r="B843" s="1"/>
      <c r="C843" s="1"/>
      <c r="D843" s="1"/>
      <c r="E843" s="1"/>
      <c r="F843" s="1"/>
      <c r="G843" s="1"/>
      <c r="H843" s="1"/>
      <c r="I843" s="1"/>
    </row>
    <row r="844" ht="13.5" customHeight="1">
      <c r="B844" s="1"/>
      <c r="C844" s="1"/>
      <c r="D844" s="1"/>
      <c r="E844" s="1"/>
      <c r="F844" s="1"/>
      <c r="G844" s="1"/>
      <c r="H844" s="1"/>
      <c r="I844" s="1"/>
    </row>
    <row r="845" ht="13.5" customHeight="1">
      <c r="B845" s="1"/>
      <c r="C845" s="1"/>
      <c r="D845" s="1"/>
      <c r="E845" s="1"/>
      <c r="F845" s="1"/>
      <c r="G845" s="1"/>
      <c r="H845" s="1"/>
      <c r="I845" s="1"/>
    </row>
    <row r="846" ht="13.5" customHeight="1">
      <c r="B846" s="1"/>
      <c r="C846" s="1"/>
      <c r="D846" s="1"/>
      <c r="E846" s="1"/>
      <c r="F846" s="1"/>
      <c r="G846" s="1"/>
      <c r="H846" s="1"/>
      <c r="I846" s="1"/>
    </row>
    <row r="847" ht="13.5" customHeight="1">
      <c r="B847" s="1"/>
      <c r="C847" s="1"/>
      <c r="D847" s="1"/>
      <c r="E847" s="1"/>
      <c r="F847" s="1"/>
      <c r="G847" s="1"/>
      <c r="H847" s="1"/>
      <c r="I847" s="1"/>
    </row>
    <row r="848" ht="13.5" customHeight="1">
      <c r="B848" s="1"/>
      <c r="C848" s="1"/>
      <c r="D848" s="1"/>
      <c r="E848" s="1"/>
      <c r="F848" s="1"/>
      <c r="G848" s="1"/>
      <c r="H848" s="1"/>
      <c r="I848" s="1"/>
    </row>
    <row r="849" ht="13.5" customHeight="1">
      <c r="B849" s="1"/>
      <c r="C849" s="1"/>
      <c r="D849" s="1"/>
      <c r="E849" s="1"/>
      <c r="F849" s="1"/>
      <c r="G849" s="1"/>
      <c r="H849" s="1"/>
      <c r="I849" s="1"/>
    </row>
    <row r="850" ht="13.5" customHeight="1">
      <c r="B850" s="1"/>
      <c r="C850" s="1"/>
      <c r="D850" s="1"/>
      <c r="E850" s="1"/>
      <c r="F850" s="1"/>
      <c r="G850" s="1"/>
      <c r="H850" s="1"/>
      <c r="I850" s="1"/>
    </row>
    <row r="851" ht="13.5" customHeight="1">
      <c r="B851" s="1"/>
      <c r="C851" s="1"/>
      <c r="D851" s="1"/>
      <c r="E851" s="1"/>
      <c r="F851" s="1"/>
      <c r="G851" s="1"/>
      <c r="H851" s="1"/>
      <c r="I851" s="1"/>
    </row>
    <row r="852" ht="13.5" customHeight="1">
      <c r="B852" s="1"/>
      <c r="C852" s="1"/>
      <c r="D852" s="1"/>
      <c r="E852" s="1"/>
      <c r="F852" s="1"/>
      <c r="G852" s="1"/>
      <c r="H852" s="1"/>
      <c r="I852" s="1"/>
    </row>
    <row r="853" ht="13.5" customHeight="1">
      <c r="B853" s="1"/>
      <c r="C853" s="1"/>
      <c r="D853" s="1"/>
      <c r="E853" s="1"/>
      <c r="F853" s="1"/>
      <c r="G853" s="1"/>
      <c r="H853" s="1"/>
      <c r="I853" s="1"/>
    </row>
    <row r="854" ht="13.5" customHeight="1">
      <c r="B854" s="1"/>
      <c r="C854" s="1"/>
      <c r="D854" s="1"/>
      <c r="E854" s="1"/>
      <c r="F854" s="1"/>
      <c r="G854" s="1"/>
      <c r="H854" s="1"/>
      <c r="I854" s="1"/>
    </row>
    <row r="855" ht="13.5" customHeight="1">
      <c r="B855" s="1"/>
      <c r="C855" s="1"/>
      <c r="D855" s="1"/>
      <c r="E855" s="1"/>
      <c r="F855" s="1"/>
      <c r="G855" s="1"/>
      <c r="H855" s="1"/>
      <c r="I855" s="1"/>
    </row>
    <row r="856" ht="13.5" customHeight="1">
      <c r="B856" s="1"/>
      <c r="C856" s="1"/>
      <c r="D856" s="1"/>
      <c r="E856" s="1"/>
      <c r="F856" s="1"/>
      <c r="G856" s="1"/>
      <c r="H856" s="1"/>
      <c r="I856" s="1"/>
    </row>
    <row r="857" ht="13.5" customHeight="1">
      <c r="B857" s="1"/>
      <c r="C857" s="1"/>
      <c r="D857" s="1"/>
      <c r="E857" s="1"/>
      <c r="F857" s="1"/>
      <c r="G857" s="1"/>
      <c r="H857" s="1"/>
      <c r="I857" s="1"/>
    </row>
    <row r="858" ht="13.5" customHeight="1">
      <c r="B858" s="1"/>
      <c r="C858" s="1"/>
      <c r="D858" s="1"/>
      <c r="E858" s="1"/>
      <c r="F858" s="1"/>
      <c r="G858" s="1"/>
      <c r="H858" s="1"/>
      <c r="I858" s="1"/>
    </row>
    <row r="859" ht="13.5" customHeight="1">
      <c r="B859" s="1"/>
      <c r="C859" s="1"/>
      <c r="D859" s="1"/>
      <c r="E859" s="1"/>
      <c r="F859" s="1"/>
      <c r="G859" s="1"/>
      <c r="H859" s="1"/>
      <c r="I859" s="1"/>
    </row>
    <row r="860" ht="13.5" customHeight="1">
      <c r="B860" s="1"/>
      <c r="C860" s="1"/>
      <c r="D860" s="1"/>
      <c r="E860" s="1"/>
      <c r="F860" s="1"/>
      <c r="G860" s="1"/>
      <c r="H860" s="1"/>
      <c r="I860" s="1"/>
    </row>
    <row r="861" ht="13.5" customHeight="1">
      <c r="B861" s="1"/>
      <c r="C861" s="1"/>
      <c r="D861" s="1"/>
      <c r="E861" s="1"/>
      <c r="F861" s="1"/>
      <c r="G861" s="1"/>
      <c r="H861" s="1"/>
      <c r="I861" s="1"/>
    </row>
    <row r="862" ht="13.5" customHeight="1">
      <c r="B862" s="1"/>
      <c r="C862" s="1"/>
      <c r="D862" s="1"/>
      <c r="E862" s="1"/>
      <c r="F862" s="1"/>
      <c r="G862" s="1"/>
      <c r="H862" s="1"/>
      <c r="I862" s="1"/>
    </row>
    <row r="863" ht="13.5" customHeight="1">
      <c r="B863" s="1"/>
      <c r="C863" s="1"/>
      <c r="D863" s="1"/>
      <c r="E863" s="1"/>
      <c r="F863" s="1"/>
      <c r="G863" s="1"/>
      <c r="H863" s="1"/>
      <c r="I863" s="1"/>
    </row>
    <row r="864" ht="13.5" customHeight="1">
      <c r="B864" s="1"/>
      <c r="C864" s="1"/>
      <c r="D864" s="1"/>
      <c r="E864" s="1"/>
      <c r="F864" s="1"/>
      <c r="G864" s="1"/>
      <c r="H864" s="1"/>
      <c r="I864" s="1"/>
    </row>
    <row r="865" ht="13.5" customHeight="1">
      <c r="B865" s="1"/>
      <c r="C865" s="1"/>
      <c r="D865" s="1"/>
      <c r="E865" s="1"/>
      <c r="F865" s="1"/>
      <c r="G865" s="1"/>
      <c r="H865" s="1"/>
      <c r="I865" s="1"/>
    </row>
    <row r="866" ht="13.5" customHeight="1">
      <c r="B866" s="1"/>
      <c r="C866" s="1"/>
      <c r="D866" s="1"/>
      <c r="E866" s="1"/>
      <c r="F866" s="1"/>
      <c r="G866" s="1"/>
      <c r="H866" s="1"/>
      <c r="I866" s="1"/>
    </row>
    <row r="867" ht="13.5" customHeight="1">
      <c r="B867" s="1"/>
      <c r="C867" s="1"/>
      <c r="D867" s="1"/>
      <c r="E867" s="1"/>
      <c r="F867" s="1"/>
      <c r="G867" s="1"/>
      <c r="H867" s="1"/>
      <c r="I867" s="1"/>
    </row>
    <row r="868" ht="13.5" customHeight="1">
      <c r="B868" s="1"/>
      <c r="C868" s="1"/>
      <c r="D868" s="1"/>
      <c r="E868" s="1"/>
      <c r="F868" s="1"/>
      <c r="G868" s="1"/>
      <c r="H868" s="1"/>
      <c r="I868" s="1"/>
    </row>
    <row r="869" ht="13.5" customHeight="1">
      <c r="B869" s="1"/>
      <c r="C869" s="1"/>
      <c r="D869" s="1"/>
      <c r="E869" s="1"/>
      <c r="F869" s="1"/>
      <c r="G869" s="1"/>
      <c r="H869" s="1"/>
      <c r="I869" s="1"/>
    </row>
    <row r="870" ht="13.5" customHeight="1">
      <c r="B870" s="1"/>
      <c r="C870" s="1"/>
      <c r="D870" s="1"/>
      <c r="E870" s="1"/>
      <c r="F870" s="1"/>
      <c r="G870" s="1"/>
      <c r="H870" s="1"/>
      <c r="I870" s="1"/>
    </row>
    <row r="871" ht="13.5" customHeight="1">
      <c r="B871" s="1"/>
      <c r="C871" s="1"/>
      <c r="D871" s="1"/>
      <c r="E871" s="1"/>
      <c r="F871" s="1"/>
      <c r="G871" s="1"/>
      <c r="H871" s="1"/>
      <c r="I871" s="1"/>
    </row>
    <row r="872" ht="13.5" customHeight="1">
      <c r="B872" s="1"/>
      <c r="C872" s="1"/>
      <c r="D872" s="1"/>
      <c r="E872" s="1"/>
      <c r="F872" s="1"/>
      <c r="G872" s="1"/>
      <c r="H872" s="1"/>
      <c r="I872" s="1"/>
    </row>
    <row r="873" ht="13.5" customHeight="1">
      <c r="B873" s="1"/>
      <c r="C873" s="1"/>
      <c r="D873" s="1"/>
      <c r="E873" s="1"/>
      <c r="F873" s="1"/>
      <c r="G873" s="1"/>
      <c r="H873" s="1"/>
      <c r="I873" s="1"/>
    </row>
    <row r="874" ht="13.5" customHeight="1">
      <c r="B874" s="1"/>
      <c r="C874" s="1"/>
      <c r="D874" s="1"/>
      <c r="E874" s="1"/>
      <c r="F874" s="1"/>
      <c r="G874" s="1"/>
      <c r="H874" s="1"/>
      <c r="I874" s="1"/>
    </row>
    <row r="875" ht="13.5" customHeight="1">
      <c r="B875" s="1"/>
      <c r="C875" s="1"/>
      <c r="D875" s="1"/>
      <c r="E875" s="1"/>
      <c r="F875" s="1"/>
      <c r="G875" s="1"/>
      <c r="H875" s="1"/>
      <c r="I875" s="1"/>
    </row>
    <row r="876" ht="13.5" customHeight="1">
      <c r="B876" s="1"/>
      <c r="C876" s="1"/>
      <c r="D876" s="1"/>
      <c r="E876" s="1"/>
      <c r="F876" s="1"/>
      <c r="G876" s="1"/>
      <c r="H876" s="1"/>
      <c r="I876" s="1"/>
    </row>
    <row r="877" ht="13.5" customHeight="1">
      <c r="B877" s="1"/>
      <c r="C877" s="1"/>
      <c r="D877" s="1"/>
      <c r="E877" s="1"/>
      <c r="F877" s="1"/>
      <c r="G877" s="1"/>
      <c r="H877" s="1"/>
      <c r="I877" s="1"/>
    </row>
    <row r="878" ht="13.5" customHeight="1">
      <c r="B878" s="1"/>
      <c r="C878" s="1"/>
      <c r="D878" s="1"/>
      <c r="E878" s="1"/>
      <c r="F878" s="1"/>
      <c r="G878" s="1"/>
      <c r="H878" s="1"/>
      <c r="I878" s="1"/>
    </row>
    <row r="879" ht="13.5" customHeight="1">
      <c r="B879" s="1"/>
      <c r="C879" s="1"/>
      <c r="D879" s="1"/>
      <c r="E879" s="1"/>
      <c r="F879" s="1"/>
      <c r="G879" s="1"/>
      <c r="H879" s="1"/>
      <c r="I879" s="1"/>
    </row>
    <row r="880" ht="13.5" customHeight="1">
      <c r="B880" s="1"/>
      <c r="C880" s="1"/>
      <c r="D880" s="1"/>
      <c r="E880" s="1"/>
      <c r="F880" s="1"/>
      <c r="G880" s="1"/>
      <c r="H880" s="1"/>
      <c r="I880" s="1"/>
    </row>
    <row r="881" ht="13.5" customHeight="1">
      <c r="B881" s="1"/>
      <c r="C881" s="1"/>
      <c r="D881" s="1"/>
      <c r="E881" s="1"/>
      <c r="F881" s="1"/>
      <c r="G881" s="1"/>
      <c r="H881" s="1"/>
      <c r="I881" s="1"/>
    </row>
    <row r="882" ht="13.5" customHeight="1">
      <c r="B882" s="1"/>
      <c r="C882" s="1"/>
      <c r="D882" s="1"/>
      <c r="E882" s="1"/>
      <c r="F882" s="1"/>
      <c r="G882" s="1"/>
      <c r="H882" s="1"/>
      <c r="I882" s="1"/>
    </row>
    <row r="883" ht="13.5" customHeight="1">
      <c r="B883" s="1"/>
      <c r="C883" s="1"/>
      <c r="D883" s="1"/>
      <c r="E883" s="1"/>
      <c r="F883" s="1"/>
      <c r="G883" s="1"/>
      <c r="H883" s="1"/>
      <c r="I883" s="1"/>
    </row>
    <row r="884" ht="13.5" customHeight="1">
      <c r="B884" s="1"/>
      <c r="C884" s="1"/>
      <c r="D884" s="1"/>
      <c r="E884" s="1"/>
      <c r="F884" s="1"/>
      <c r="G884" s="1"/>
      <c r="H884" s="1"/>
      <c r="I884" s="1"/>
    </row>
    <row r="885" ht="13.5" customHeight="1">
      <c r="B885" s="1"/>
      <c r="C885" s="1"/>
      <c r="D885" s="1"/>
      <c r="E885" s="1"/>
      <c r="F885" s="1"/>
      <c r="G885" s="1"/>
      <c r="H885" s="1"/>
      <c r="I885" s="1"/>
    </row>
    <row r="886" ht="13.5" customHeight="1">
      <c r="B886" s="1"/>
      <c r="C886" s="1"/>
      <c r="D886" s="1"/>
      <c r="E886" s="1"/>
      <c r="F886" s="1"/>
      <c r="G886" s="1"/>
      <c r="H886" s="1"/>
      <c r="I886" s="1"/>
    </row>
    <row r="887" ht="13.5" customHeight="1">
      <c r="B887" s="1"/>
      <c r="C887" s="1"/>
      <c r="D887" s="1"/>
      <c r="E887" s="1"/>
      <c r="F887" s="1"/>
      <c r="G887" s="1"/>
      <c r="H887" s="1"/>
      <c r="I887" s="1"/>
    </row>
    <row r="888" ht="13.5" customHeight="1">
      <c r="B888" s="1"/>
      <c r="C888" s="1"/>
      <c r="D888" s="1"/>
      <c r="E888" s="1"/>
      <c r="F888" s="1"/>
      <c r="G888" s="1"/>
      <c r="H888" s="1"/>
      <c r="I888" s="1"/>
    </row>
    <row r="889" ht="13.5" customHeight="1">
      <c r="B889" s="1"/>
      <c r="C889" s="1"/>
      <c r="D889" s="1"/>
      <c r="E889" s="1"/>
      <c r="F889" s="1"/>
      <c r="G889" s="1"/>
      <c r="H889" s="1"/>
      <c r="I889" s="1"/>
    </row>
    <row r="890" ht="13.5" customHeight="1">
      <c r="B890" s="1"/>
      <c r="C890" s="1"/>
      <c r="D890" s="1"/>
      <c r="E890" s="1"/>
      <c r="F890" s="1"/>
      <c r="G890" s="1"/>
      <c r="H890" s="1"/>
      <c r="I890" s="1"/>
    </row>
    <row r="891" ht="13.5" customHeight="1">
      <c r="B891" s="1"/>
      <c r="C891" s="1"/>
      <c r="D891" s="1"/>
      <c r="E891" s="1"/>
      <c r="F891" s="1"/>
      <c r="G891" s="1"/>
      <c r="H891" s="1"/>
      <c r="I891" s="1"/>
    </row>
    <row r="892" ht="13.5" customHeight="1">
      <c r="B892" s="1"/>
      <c r="C892" s="1"/>
      <c r="D892" s="1"/>
      <c r="E892" s="1"/>
      <c r="F892" s="1"/>
      <c r="G892" s="1"/>
      <c r="H892" s="1"/>
      <c r="I892" s="1"/>
    </row>
    <row r="893" ht="13.5" customHeight="1">
      <c r="B893" s="1"/>
      <c r="C893" s="1"/>
      <c r="D893" s="1"/>
      <c r="E893" s="1"/>
      <c r="F893" s="1"/>
      <c r="G893" s="1"/>
      <c r="H893" s="1"/>
      <c r="I893" s="1"/>
    </row>
    <row r="894" ht="13.5" customHeight="1">
      <c r="B894" s="1"/>
      <c r="C894" s="1"/>
      <c r="D894" s="1"/>
      <c r="E894" s="1"/>
      <c r="F894" s="1"/>
      <c r="G894" s="1"/>
      <c r="H894" s="1"/>
      <c r="I894" s="1"/>
    </row>
    <row r="895" ht="13.5" customHeight="1">
      <c r="B895" s="1"/>
      <c r="C895" s="1"/>
      <c r="D895" s="1"/>
      <c r="E895" s="1"/>
      <c r="F895" s="1"/>
      <c r="G895" s="1"/>
      <c r="H895" s="1"/>
      <c r="I895" s="1"/>
    </row>
    <row r="896" ht="13.5" customHeight="1">
      <c r="B896" s="1"/>
      <c r="C896" s="1"/>
      <c r="D896" s="1"/>
      <c r="E896" s="1"/>
      <c r="F896" s="1"/>
      <c r="G896" s="1"/>
      <c r="H896" s="1"/>
      <c r="I896" s="1"/>
    </row>
    <row r="897" ht="13.5" customHeight="1">
      <c r="B897" s="1"/>
      <c r="C897" s="1"/>
      <c r="D897" s="1"/>
      <c r="E897" s="1"/>
      <c r="F897" s="1"/>
      <c r="G897" s="1"/>
      <c r="H897" s="1"/>
      <c r="I897" s="1"/>
    </row>
    <row r="898" ht="13.5" customHeight="1">
      <c r="B898" s="1"/>
      <c r="C898" s="1"/>
      <c r="D898" s="1"/>
      <c r="E898" s="1"/>
      <c r="F898" s="1"/>
      <c r="G898" s="1"/>
      <c r="H898" s="1"/>
      <c r="I898" s="1"/>
    </row>
    <row r="899" ht="13.5" customHeight="1">
      <c r="B899" s="1"/>
      <c r="C899" s="1"/>
      <c r="D899" s="1"/>
      <c r="E899" s="1"/>
      <c r="F899" s="1"/>
      <c r="G899" s="1"/>
      <c r="H899" s="1"/>
      <c r="I899" s="1"/>
    </row>
    <row r="900" ht="13.5" customHeight="1">
      <c r="B900" s="1"/>
      <c r="C900" s="1"/>
      <c r="D900" s="1"/>
      <c r="E900" s="1"/>
      <c r="F900" s="1"/>
      <c r="G900" s="1"/>
      <c r="H900" s="1"/>
      <c r="I900" s="1"/>
    </row>
    <row r="901" ht="13.5" customHeight="1">
      <c r="B901" s="1"/>
      <c r="C901" s="1"/>
      <c r="D901" s="1"/>
      <c r="E901" s="1"/>
      <c r="F901" s="1"/>
      <c r="G901" s="1"/>
      <c r="H901" s="1"/>
      <c r="I901" s="1"/>
    </row>
    <row r="902" ht="13.5" customHeight="1">
      <c r="B902" s="1"/>
      <c r="C902" s="1"/>
      <c r="D902" s="1"/>
      <c r="E902" s="1"/>
      <c r="F902" s="1"/>
      <c r="G902" s="1"/>
      <c r="H902" s="1"/>
      <c r="I902" s="1"/>
    </row>
    <row r="903" ht="13.5" customHeight="1">
      <c r="B903" s="1"/>
      <c r="C903" s="1"/>
      <c r="D903" s="1"/>
      <c r="E903" s="1"/>
      <c r="F903" s="1"/>
      <c r="G903" s="1"/>
      <c r="H903" s="1"/>
      <c r="I903" s="1"/>
    </row>
    <row r="904" ht="13.5" customHeight="1">
      <c r="B904" s="1"/>
      <c r="C904" s="1"/>
      <c r="D904" s="1"/>
      <c r="E904" s="1"/>
      <c r="F904" s="1"/>
      <c r="G904" s="1"/>
      <c r="H904" s="1"/>
      <c r="I904" s="1"/>
    </row>
    <row r="905" ht="13.5" customHeight="1">
      <c r="B905" s="1"/>
      <c r="C905" s="1"/>
      <c r="D905" s="1"/>
      <c r="E905" s="1"/>
      <c r="F905" s="1"/>
      <c r="G905" s="1"/>
      <c r="H905" s="1"/>
      <c r="I905" s="1"/>
    </row>
    <row r="906" ht="13.5" customHeight="1">
      <c r="B906" s="1"/>
      <c r="C906" s="1"/>
      <c r="D906" s="1"/>
      <c r="E906" s="1"/>
      <c r="F906" s="1"/>
      <c r="G906" s="1"/>
      <c r="H906" s="1"/>
      <c r="I906" s="1"/>
    </row>
    <row r="907" ht="13.5" customHeight="1">
      <c r="B907" s="1"/>
      <c r="C907" s="1"/>
      <c r="D907" s="1"/>
      <c r="E907" s="1"/>
      <c r="F907" s="1"/>
      <c r="G907" s="1"/>
      <c r="H907" s="1"/>
      <c r="I907" s="1"/>
    </row>
    <row r="908" ht="13.5" customHeight="1">
      <c r="B908" s="1"/>
      <c r="C908" s="1"/>
      <c r="D908" s="1"/>
      <c r="E908" s="1"/>
      <c r="F908" s="1"/>
      <c r="G908" s="1"/>
      <c r="H908" s="1"/>
      <c r="I908" s="1"/>
    </row>
    <row r="909" ht="13.5" customHeight="1">
      <c r="B909" s="1"/>
      <c r="C909" s="1"/>
      <c r="D909" s="1"/>
      <c r="E909" s="1"/>
      <c r="F909" s="1"/>
      <c r="G909" s="1"/>
      <c r="H909" s="1"/>
      <c r="I909" s="1"/>
    </row>
    <row r="910" ht="13.5" customHeight="1">
      <c r="B910" s="1"/>
      <c r="C910" s="1"/>
      <c r="D910" s="1"/>
      <c r="E910" s="1"/>
      <c r="F910" s="1"/>
      <c r="G910" s="1"/>
      <c r="H910" s="1"/>
      <c r="I910" s="1"/>
    </row>
    <row r="911" ht="13.5" customHeight="1">
      <c r="B911" s="1"/>
      <c r="C911" s="1"/>
      <c r="D911" s="1"/>
      <c r="E911" s="1"/>
      <c r="F911" s="1"/>
      <c r="G911" s="1"/>
      <c r="H911" s="1"/>
      <c r="I911" s="1"/>
    </row>
    <row r="912" ht="13.5" customHeight="1">
      <c r="B912" s="1"/>
      <c r="C912" s="1"/>
      <c r="D912" s="1"/>
      <c r="E912" s="1"/>
      <c r="F912" s="1"/>
      <c r="G912" s="1"/>
      <c r="H912" s="1"/>
      <c r="I912" s="1"/>
    </row>
    <row r="913" ht="13.5" customHeight="1">
      <c r="B913" s="1"/>
      <c r="C913" s="1"/>
      <c r="D913" s="1"/>
      <c r="E913" s="1"/>
      <c r="F913" s="1"/>
      <c r="G913" s="1"/>
      <c r="H913" s="1"/>
      <c r="I913" s="1"/>
    </row>
    <row r="914" ht="13.5" customHeight="1">
      <c r="B914" s="1"/>
      <c r="C914" s="1"/>
      <c r="D914" s="1"/>
      <c r="E914" s="1"/>
      <c r="F914" s="1"/>
      <c r="G914" s="1"/>
      <c r="H914" s="1"/>
      <c r="I914" s="1"/>
    </row>
    <row r="915" ht="13.5" customHeight="1">
      <c r="B915" s="1"/>
      <c r="C915" s="1"/>
      <c r="D915" s="1"/>
      <c r="E915" s="1"/>
      <c r="F915" s="1"/>
      <c r="G915" s="1"/>
      <c r="H915" s="1"/>
      <c r="I915" s="1"/>
    </row>
    <row r="916" ht="13.5" customHeight="1">
      <c r="B916" s="1"/>
      <c r="C916" s="1"/>
      <c r="D916" s="1"/>
      <c r="E916" s="1"/>
      <c r="F916" s="1"/>
      <c r="G916" s="1"/>
      <c r="H916" s="1"/>
      <c r="I916" s="1"/>
    </row>
    <row r="917" ht="13.5" customHeight="1">
      <c r="B917" s="1"/>
      <c r="C917" s="1"/>
      <c r="D917" s="1"/>
      <c r="E917" s="1"/>
      <c r="F917" s="1"/>
      <c r="G917" s="1"/>
      <c r="H917" s="1"/>
      <c r="I917" s="1"/>
    </row>
    <row r="918" ht="13.5" customHeight="1">
      <c r="B918" s="1"/>
      <c r="C918" s="1"/>
      <c r="D918" s="1"/>
      <c r="E918" s="1"/>
      <c r="F918" s="1"/>
      <c r="G918" s="1"/>
      <c r="H918" s="1"/>
      <c r="I918" s="1"/>
    </row>
    <row r="919" ht="13.5" customHeight="1">
      <c r="B919" s="1"/>
      <c r="C919" s="1"/>
      <c r="D919" s="1"/>
      <c r="E919" s="1"/>
      <c r="F919" s="1"/>
      <c r="G919" s="1"/>
      <c r="H919" s="1"/>
      <c r="I919" s="1"/>
    </row>
    <row r="920" ht="13.5" customHeight="1">
      <c r="B920" s="1"/>
      <c r="C920" s="1"/>
      <c r="D920" s="1"/>
      <c r="E920" s="1"/>
      <c r="F920" s="1"/>
      <c r="G920" s="1"/>
      <c r="H920" s="1"/>
      <c r="I920" s="1"/>
    </row>
    <row r="921" ht="13.5" customHeight="1">
      <c r="B921" s="1"/>
      <c r="C921" s="1"/>
      <c r="D921" s="1"/>
      <c r="E921" s="1"/>
      <c r="F921" s="1"/>
      <c r="G921" s="1"/>
      <c r="H921" s="1"/>
      <c r="I921" s="1"/>
    </row>
    <row r="922" ht="13.5" customHeight="1">
      <c r="B922" s="1"/>
      <c r="C922" s="1"/>
      <c r="D922" s="1"/>
      <c r="E922" s="1"/>
      <c r="F922" s="1"/>
      <c r="G922" s="1"/>
      <c r="H922" s="1"/>
      <c r="I922" s="1"/>
    </row>
    <row r="923" ht="13.5" customHeight="1">
      <c r="B923" s="1"/>
      <c r="C923" s="1"/>
      <c r="D923" s="1"/>
      <c r="E923" s="1"/>
      <c r="F923" s="1"/>
      <c r="G923" s="1"/>
      <c r="H923" s="1"/>
      <c r="I923" s="1"/>
    </row>
    <row r="924" ht="13.5" customHeight="1">
      <c r="B924" s="1"/>
      <c r="C924" s="1"/>
      <c r="D924" s="1"/>
      <c r="E924" s="1"/>
      <c r="F924" s="1"/>
      <c r="G924" s="1"/>
      <c r="H924" s="1"/>
      <c r="I924" s="1"/>
    </row>
    <row r="925" ht="13.5" customHeight="1">
      <c r="B925" s="1"/>
      <c r="C925" s="1"/>
      <c r="D925" s="1"/>
      <c r="E925" s="1"/>
      <c r="F925" s="1"/>
      <c r="G925" s="1"/>
      <c r="H925" s="1"/>
      <c r="I925" s="1"/>
    </row>
    <row r="926" ht="13.5" customHeight="1">
      <c r="B926" s="1"/>
      <c r="C926" s="1"/>
      <c r="D926" s="1"/>
      <c r="E926" s="1"/>
      <c r="F926" s="1"/>
      <c r="G926" s="1"/>
      <c r="H926" s="1"/>
      <c r="I926" s="1"/>
    </row>
    <row r="927" ht="13.5" customHeight="1">
      <c r="B927" s="1"/>
      <c r="C927" s="1"/>
      <c r="D927" s="1"/>
      <c r="E927" s="1"/>
      <c r="F927" s="1"/>
      <c r="G927" s="1"/>
      <c r="H927" s="1"/>
      <c r="I927" s="1"/>
    </row>
    <row r="928" ht="13.5" customHeight="1">
      <c r="B928" s="1"/>
      <c r="C928" s="1"/>
      <c r="D928" s="1"/>
      <c r="E928" s="1"/>
      <c r="F928" s="1"/>
      <c r="G928" s="1"/>
      <c r="H928" s="1"/>
      <c r="I928" s="1"/>
    </row>
    <row r="929" ht="13.5" customHeight="1">
      <c r="B929" s="1"/>
      <c r="C929" s="1"/>
      <c r="D929" s="1"/>
      <c r="E929" s="1"/>
      <c r="F929" s="1"/>
      <c r="G929" s="1"/>
      <c r="H929" s="1"/>
      <c r="I929" s="1"/>
    </row>
    <row r="930" ht="13.5" customHeight="1">
      <c r="B930" s="1"/>
      <c r="C930" s="1"/>
      <c r="D930" s="1"/>
      <c r="E930" s="1"/>
      <c r="F930" s="1"/>
      <c r="G930" s="1"/>
      <c r="H930" s="1"/>
      <c r="I930" s="1"/>
    </row>
    <row r="931" ht="13.5" customHeight="1">
      <c r="B931" s="1"/>
      <c r="C931" s="1"/>
      <c r="D931" s="1"/>
      <c r="E931" s="1"/>
      <c r="F931" s="1"/>
      <c r="G931" s="1"/>
      <c r="H931" s="1"/>
      <c r="I931" s="1"/>
    </row>
    <row r="932" ht="13.5" customHeight="1">
      <c r="B932" s="1"/>
      <c r="C932" s="1"/>
      <c r="D932" s="1"/>
      <c r="E932" s="1"/>
      <c r="F932" s="1"/>
      <c r="G932" s="1"/>
      <c r="H932" s="1"/>
      <c r="I932" s="1"/>
    </row>
    <row r="933" ht="13.5" customHeight="1">
      <c r="B933" s="1"/>
      <c r="C933" s="1"/>
      <c r="D933" s="1"/>
      <c r="E933" s="1"/>
      <c r="F933" s="1"/>
      <c r="G933" s="1"/>
      <c r="H933" s="1"/>
      <c r="I933" s="1"/>
    </row>
    <row r="934" ht="13.5" customHeight="1">
      <c r="B934" s="1"/>
      <c r="C934" s="1"/>
      <c r="D934" s="1"/>
      <c r="E934" s="1"/>
      <c r="F934" s="1"/>
      <c r="G934" s="1"/>
      <c r="H934" s="1"/>
      <c r="I934" s="1"/>
    </row>
    <row r="935" ht="13.5" customHeight="1">
      <c r="B935" s="1"/>
      <c r="C935" s="1"/>
      <c r="D935" s="1"/>
      <c r="E935" s="1"/>
      <c r="F935" s="1"/>
      <c r="G935" s="1"/>
      <c r="H935" s="1"/>
      <c r="I935" s="1"/>
    </row>
    <row r="936" ht="13.5" customHeight="1">
      <c r="B936" s="1"/>
      <c r="C936" s="1"/>
      <c r="D936" s="1"/>
      <c r="E936" s="1"/>
      <c r="F936" s="1"/>
      <c r="G936" s="1"/>
      <c r="H936" s="1"/>
      <c r="I936" s="1"/>
    </row>
    <row r="937" ht="13.5" customHeight="1">
      <c r="B937" s="1"/>
      <c r="C937" s="1"/>
      <c r="D937" s="1"/>
      <c r="E937" s="1"/>
      <c r="F937" s="1"/>
      <c r="G937" s="1"/>
      <c r="H937" s="1"/>
      <c r="I937" s="1"/>
    </row>
    <row r="938" ht="13.5" customHeight="1">
      <c r="B938" s="1"/>
      <c r="C938" s="1"/>
      <c r="D938" s="1"/>
      <c r="E938" s="1"/>
      <c r="F938" s="1"/>
      <c r="G938" s="1"/>
      <c r="H938" s="1"/>
      <c r="I938" s="1"/>
    </row>
    <row r="939" ht="13.5" customHeight="1">
      <c r="B939" s="1"/>
      <c r="C939" s="1"/>
      <c r="D939" s="1"/>
      <c r="E939" s="1"/>
      <c r="F939" s="1"/>
      <c r="G939" s="1"/>
      <c r="H939" s="1"/>
      <c r="I939" s="1"/>
    </row>
    <row r="940" ht="13.5" customHeight="1">
      <c r="B940" s="1"/>
      <c r="C940" s="1"/>
      <c r="D940" s="1"/>
      <c r="E940" s="1"/>
      <c r="F940" s="1"/>
      <c r="G940" s="1"/>
      <c r="H940" s="1"/>
      <c r="I940" s="1"/>
    </row>
    <row r="941" ht="13.5" customHeight="1">
      <c r="B941" s="1"/>
      <c r="C941" s="1"/>
      <c r="D941" s="1"/>
      <c r="E941" s="1"/>
      <c r="F941" s="1"/>
      <c r="G941" s="1"/>
      <c r="H941" s="1"/>
      <c r="I941" s="1"/>
    </row>
    <row r="942" ht="13.5" customHeight="1">
      <c r="B942" s="1"/>
      <c r="C942" s="1"/>
      <c r="D942" s="1"/>
      <c r="E942" s="1"/>
      <c r="F942" s="1"/>
      <c r="G942" s="1"/>
      <c r="H942" s="1"/>
      <c r="I942" s="1"/>
    </row>
    <row r="943" ht="13.5" customHeight="1">
      <c r="B943" s="1"/>
      <c r="C943" s="1"/>
      <c r="D943" s="1"/>
      <c r="E943" s="1"/>
      <c r="F943" s="1"/>
      <c r="G943" s="1"/>
      <c r="H943" s="1"/>
      <c r="I943" s="1"/>
    </row>
    <row r="944" ht="13.5" customHeight="1">
      <c r="B944" s="1"/>
      <c r="C944" s="1"/>
      <c r="D944" s="1"/>
      <c r="E944" s="1"/>
      <c r="F944" s="1"/>
      <c r="G944" s="1"/>
      <c r="H944" s="1"/>
      <c r="I944" s="1"/>
    </row>
    <row r="945" ht="13.5" customHeight="1">
      <c r="B945" s="1"/>
      <c r="C945" s="1"/>
      <c r="D945" s="1"/>
      <c r="E945" s="1"/>
      <c r="F945" s="1"/>
      <c r="G945" s="1"/>
      <c r="H945" s="1"/>
      <c r="I945" s="1"/>
    </row>
    <row r="946" ht="13.5" customHeight="1">
      <c r="B946" s="1"/>
      <c r="C946" s="1"/>
      <c r="D946" s="1"/>
      <c r="E946" s="1"/>
      <c r="F946" s="1"/>
      <c r="G946" s="1"/>
      <c r="H946" s="1"/>
      <c r="I946" s="1"/>
    </row>
    <row r="947" ht="13.5" customHeight="1">
      <c r="B947" s="1"/>
      <c r="C947" s="1"/>
      <c r="D947" s="1"/>
      <c r="E947" s="1"/>
      <c r="F947" s="1"/>
      <c r="G947" s="1"/>
      <c r="H947" s="1"/>
      <c r="I947" s="1"/>
    </row>
    <row r="948" ht="13.5" customHeight="1">
      <c r="B948" s="1"/>
      <c r="C948" s="1"/>
      <c r="D948" s="1"/>
      <c r="E948" s="1"/>
      <c r="F948" s="1"/>
      <c r="G948" s="1"/>
      <c r="H948" s="1"/>
      <c r="I948" s="1"/>
    </row>
    <row r="949" ht="13.5" customHeight="1">
      <c r="B949" s="1"/>
      <c r="C949" s="1"/>
      <c r="D949" s="1"/>
      <c r="E949" s="1"/>
      <c r="F949" s="1"/>
      <c r="G949" s="1"/>
      <c r="H949" s="1"/>
      <c r="I949" s="1"/>
    </row>
    <row r="950" ht="13.5" customHeight="1">
      <c r="B950" s="1"/>
      <c r="C950" s="1"/>
      <c r="D950" s="1"/>
      <c r="E950" s="1"/>
      <c r="F950" s="1"/>
      <c r="G950" s="1"/>
      <c r="H950" s="1"/>
      <c r="I950" s="1"/>
    </row>
    <row r="951" ht="13.5" customHeight="1">
      <c r="B951" s="1"/>
      <c r="C951" s="1"/>
      <c r="D951" s="1"/>
      <c r="E951" s="1"/>
      <c r="F951" s="1"/>
      <c r="G951" s="1"/>
      <c r="H951" s="1"/>
      <c r="I951" s="1"/>
    </row>
    <row r="952" ht="13.5" customHeight="1">
      <c r="B952" s="1"/>
      <c r="C952" s="1"/>
      <c r="D952" s="1"/>
      <c r="E952" s="1"/>
      <c r="F952" s="1"/>
      <c r="G952" s="1"/>
      <c r="H952" s="1"/>
      <c r="I952" s="1"/>
    </row>
    <row r="953" ht="13.5" customHeight="1">
      <c r="B953" s="1"/>
      <c r="C953" s="1"/>
      <c r="D953" s="1"/>
      <c r="E953" s="1"/>
      <c r="F953" s="1"/>
      <c r="G953" s="1"/>
      <c r="H953" s="1"/>
      <c r="I953" s="1"/>
    </row>
    <row r="954" ht="13.5" customHeight="1">
      <c r="B954" s="1"/>
      <c r="C954" s="1"/>
      <c r="D954" s="1"/>
      <c r="E954" s="1"/>
      <c r="F954" s="1"/>
      <c r="G954" s="1"/>
      <c r="H954" s="1"/>
      <c r="I954" s="1"/>
    </row>
    <row r="955" ht="13.5" customHeight="1">
      <c r="B955" s="1"/>
      <c r="C955" s="1"/>
      <c r="D955" s="1"/>
      <c r="E955" s="1"/>
      <c r="F955" s="1"/>
      <c r="G955" s="1"/>
      <c r="H955" s="1"/>
      <c r="I955" s="1"/>
    </row>
    <row r="956" ht="13.5" customHeight="1">
      <c r="B956" s="1"/>
      <c r="C956" s="1"/>
      <c r="D956" s="1"/>
      <c r="E956" s="1"/>
      <c r="F956" s="1"/>
      <c r="G956" s="1"/>
      <c r="H956" s="1"/>
      <c r="I956" s="1"/>
    </row>
    <row r="957" ht="13.5" customHeight="1">
      <c r="B957" s="1"/>
      <c r="C957" s="1"/>
      <c r="D957" s="1"/>
      <c r="E957" s="1"/>
      <c r="F957" s="1"/>
      <c r="G957" s="1"/>
      <c r="H957" s="1"/>
      <c r="I957" s="1"/>
    </row>
    <row r="958" ht="13.5" customHeight="1">
      <c r="B958" s="1"/>
      <c r="C958" s="1"/>
      <c r="D958" s="1"/>
      <c r="E958" s="1"/>
      <c r="F958" s="1"/>
      <c r="G958" s="1"/>
      <c r="H958" s="1"/>
      <c r="I958" s="1"/>
    </row>
    <row r="959" ht="13.5" customHeight="1">
      <c r="B959" s="1"/>
      <c r="C959" s="1"/>
      <c r="D959" s="1"/>
      <c r="E959" s="1"/>
      <c r="F959" s="1"/>
      <c r="G959" s="1"/>
      <c r="H959" s="1"/>
      <c r="I959" s="1"/>
    </row>
    <row r="960" ht="13.5" customHeight="1">
      <c r="B960" s="1"/>
      <c r="C960" s="1"/>
      <c r="D960" s="1"/>
      <c r="E960" s="1"/>
      <c r="F960" s="1"/>
      <c r="G960" s="1"/>
      <c r="H960" s="1"/>
      <c r="I960" s="1"/>
    </row>
    <row r="961" ht="13.5" customHeight="1">
      <c r="B961" s="1"/>
      <c r="C961" s="1"/>
      <c r="D961" s="1"/>
      <c r="E961" s="1"/>
      <c r="F961" s="1"/>
      <c r="G961" s="1"/>
      <c r="H961" s="1"/>
      <c r="I961" s="1"/>
    </row>
    <row r="962" ht="13.5" customHeight="1">
      <c r="B962" s="1"/>
      <c r="C962" s="1"/>
      <c r="D962" s="1"/>
      <c r="E962" s="1"/>
      <c r="F962" s="1"/>
      <c r="G962" s="1"/>
      <c r="H962" s="1"/>
      <c r="I962" s="1"/>
    </row>
    <row r="963" ht="13.5" customHeight="1">
      <c r="B963" s="1"/>
      <c r="C963" s="1"/>
      <c r="D963" s="1"/>
      <c r="E963" s="1"/>
      <c r="F963" s="1"/>
      <c r="G963" s="1"/>
      <c r="H963" s="1"/>
      <c r="I963" s="1"/>
    </row>
    <row r="964" ht="13.5" customHeight="1">
      <c r="B964" s="1"/>
      <c r="C964" s="1"/>
      <c r="D964" s="1"/>
      <c r="E964" s="1"/>
      <c r="F964" s="1"/>
      <c r="G964" s="1"/>
      <c r="H964" s="1"/>
      <c r="I964" s="1"/>
    </row>
    <row r="965" ht="13.5" customHeight="1">
      <c r="B965" s="1"/>
      <c r="C965" s="1"/>
      <c r="D965" s="1"/>
      <c r="E965" s="1"/>
      <c r="F965" s="1"/>
      <c r="G965" s="1"/>
      <c r="H965" s="1"/>
      <c r="I965" s="1"/>
    </row>
    <row r="966" ht="13.5" customHeight="1">
      <c r="B966" s="1"/>
      <c r="C966" s="1"/>
      <c r="D966" s="1"/>
      <c r="E966" s="1"/>
      <c r="F966" s="1"/>
      <c r="G966" s="1"/>
      <c r="H966" s="1"/>
      <c r="I966" s="1"/>
    </row>
    <row r="967" ht="13.5" customHeight="1">
      <c r="B967" s="1"/>
      <c r="C967" s="1"/>
      <c r="D967" s="1"/>
      <c r="E967" s="1"/>
      <c r="F967" s="1"/>
      <c r="G967" s="1"/>
      <c r="H967" s="1"/>
      <c r="I967" s="1"/>
    </row>
    <row r="968" ht="13.5" customHeight="1">
      <c r="B968" s="1"/>
      <c r="C968" s="1"/>
      <c r="D968" s="1"/>
      <c r="E968" s="1"/>
      <c r="F968" s="1"/>
      <c r="G968" s="1"/>
      <c r="H968" s="1"/>
      <c r="I968" s="1"/>
    </row>
    <row r="969" ht="13.5" customHeight="1">
      <c r="B969" s="1"/>
      <c r="C969" s="1"/>
      <c r="D969" s="1"/>
      <c r="E969" s="1"/>
      <c r="F969" s="1"/>
      <c r="G969" s="1"/>
      <c r="H969" s="1"/>
      <c r="I969" s="1"/>
    </row>
    <row r="970" ht="13.5" customHeight="1">
      <c r="B970" s="1"/>
      <c r="C970" s="1"/>
      <c r="D970" s="1"/>
      <c r="E970" s="1"/>
      <c r="F970" s="1"/>
      <c r="G970" s="1"/>
      <c r="H970" s="1"/>
      <c r="I970" s="1"/>
    </row>
    <row r="971" ht="13.5" customHeight="1">
      <c r="B971" s="1"/>
      <c r="C971" s="1"/>
      <c r="D971" s="1"/>
      <c r="E971" s="1"/>
      <c r="F971" s="1"/>
      <c r="G971" s="1"/>
      <c r="H971" s="1"/>
      <c r="I971" s="1"/>
    </row>
    <row r="972" ht="13.5" customHeight="1">
      <c r="B972" s="1"/>
      <c r="C972" s="1"/>
      <c r="D972" s="1"/>
      <c r="E972" s="1"/>
      <c r="F972" s="1"/>
      <c r="G972" s="1"/>
      <c r="H972" s="1"/>
      <c r="I972" s="1"/>
    </row>
    <row r="973" ht="13.5" customHeight="1">
      <c r="B973" s="1"/>
      <c r="C973" s="1"/>
      <c r="D973" s="1"/>
      <c r="E973" s="1"/>
      <c r="F973" s="1"/>
      <c r="G973" s="1"/>
      <c r="H973" s="1"/>
      <c r="I973" s="1"/>
    </row>
    <row r="974" ht="13.5" customHeight="1">
      <c r="B974" s="1"/>
      <c r="C974" s="1"/>
      <c r="D974" s="1"/>
      <c r="E974" s="1"/>
      <c r="F974" s="1"/>
      <c r="G974" s="1"/>
      <c r="H974" s="1"/>
      <c r="I974" s="1"/>
    </row>
    <row r="975" ht="13.5" customHeight="1">
      <c r="B975" s="1"/>
      <c r="C975" s="1"/>
      <c r="D975" s="1"/>
      <c r="E975" s="1"/>
      <c r="F975" s="1"/>
      <c r="G975" s="1"/>
      <c r="H975" s="1"/>
      <c r="I975" s="1"/>
    </row>
    <row r="976" ht="13.5" customHeight="1">
      <c r="B976" s="1"/>
      <c r="C976" s="1"/>
      <c r="D976" s="1"/>
      <c r="E976" s="1"/>
      <c r="F976" s="1"/>
      <c r="G976" s="1"/>
      <c r="H976" s="1"/>
      <c r="I976" s="1"/>
    </row>
    <row r="977" ht="13.5" customHeight="1">
      <c r="B977" s="1"/>
      <c r="C977" s="1"/>
      <c r="D977" s="1"/>
      <c r="E977" s="1"/>
      <c r="F977" s="1"/>
      <c r="G977" s="1"/>
      <c r="H977" s="1"/>
      <c r="I977" s="1"/>
    </row>
    <row r="978" ht="13.5" customHeight="1">
      <c r="B978" s="1"/>
      <c r="C978" s="1"/>
      <c r="D978" s="1"/>
      <c r="E978" s="1"/>
      <c r="F978" s="1"/>
      <c r="G978" s="1"/>
      <c r="H978" s="1"/>
      <c r="I978" s="1"/>
    </row>
    <row r="979" ht="13.5" customHeight="1">
      <c r="B979" s="1"/>
      <c r="C979" s="1"/>
      <c r="D979" s="1"/>
      <c r="E979" s="1"/>
      <c r="F979" s="1"/>
      <c r="G979" s="1"/>
      <c r="H979" s="1"/>
      <c r="I979" s="1"/>
    </row>
    <row r="980" ht="13.5" customHeight="1">
      <c r="B980" s="1"/>
      <c r="C980" s="1"/>
      <c r="D980" s="1"/>
      <c r="E980" s="1"/>
      <c r="F980" s="1"/>
      <c r="G980" s="1"/>
      <c r="H980" s="1"/>
      <c r="I980" s="1"/>
    </row>
    <row r="981" ht="13.5" customHeight="1">
      <c r="B981" s="1"/>
      <c r="C981" s="1"/>
      <c r="D981" s="1"/>
      <c r="E981" s="1"/>
      <c r="F981" s="1"/>
      <c r="G981" s="1"/>
      <c r="H981" s="1"/>
      <c r="I981" s="1"/>
    </row>
    <row r="982" ht="13.5" customHeight="1">
      <c r="B982" s="1"/>
      <c r="C982" s="1"/>
      <c r="D982" s="1"/>
      <c r="E982" s="1"/>
      <c r="F982" s="1"/>
      <c r="G982" s="1"/>
      <c r="H982" s="1"/>
      <c r="I982" s="1"/>
    </row>
    <row r="983" ht="13.5" customHeight="1">
      <c r="B983" s="1"/>
      <c r="C983" s="1"/>
      <c r="D983" s="1"/>
      <c r="E983" s="1"/>
      <c r="F983" s="1"/>
      <c r="G983" s="1"/>
      <c r="H983" s="1"/>
      <c r="I983" s="1"/>
    </row>
    <row r="984" ht="13.5" customHeight="1">
      <c r="B984" s="1"/>
      <c r="C984" s="1"/>
      <c r="D984" s="1"/>
      <c r="E984" s="1"/>
      <c r="F984" s="1"/>
      <c r="G984" s="1"/>
      <c r="H984" s="1"/>
      <c r="I984" s="1"/>
    </row>
    <row r="985" ht="13.5" customHeight="1">
      <c r="B985" s="1"/>
      <c r="C985" s="1"/>
      <c r="D985" s="1"/>
      <c r="E985" s="1"/>
      <c r="F985" s="1"/>
      <c r="G985" s="1"/>
      <c r="H985" s="1"/>
      <c r="I985" s="1"/>
    </row>
    <row r="986" ht="13.5" customHeight="1">
      <c r="B986" s="1"/>
      <c r="C986" s="1"/>
      <c r="D986" s="1"/>
      <c r="E986" s="1"/>
      <c r="F986" s="1"/>
      <c r="G986" s="1"/>
      <c r="H986" s="1"/>
      <c r="I986" s="1"/>
    </row>
    <row r="987" ht="13.5" customHeight="1">
      <c r="B987" s="1"/>
      <c r="C987" s="1"/>
      <c r="D987" s="1"/>
      <c r="E987" s="1"/>
      <c r="F987" s="1"/>
      <c r="G987" s="1"/>
      <c r="H987" s="1"/>
      <c r="I987" s="1"/>
    </row>
    <row r="988" ht="13.5" customHeight="1">
      <c r="B988" s="1"/>
      <c r="C988" s="1"/>
      <c r="D988" s="1"/>
      <c r="E988" s="1"/>
      <c r="F988" s="1"/>
      <c r="G988" s="1"/>
      <c r="H988" s="1"/>
      <c r="I988" s="1"/>
    </row>
    <row r="989" ht="13.5" customHeight="1">
      <c r="B989" s="1"/>
      <c r="C989" s="1"/>
      <c r="D989" s="1"/>
      <c r="E989" s="1"/>
      <c r="F989" s="1"/>
      <c r="G989" s="1"/>
      <c r="H989" s="1"/>
      <c r="I989" s="1"/>
    </row>
    <row r="990" ht="13.5" customHeight="1">
      <c r="B990" s="1"/>
      <c r="C990" s="1"/>
      <c r="D990" s="1"/>
      <c r="E990" s="1"/>
      <c r="F990" s="1"/>
      <c r="G990" s="1"/>
      <c r="H990" s="1"/>
      <c r="I990" s="1"/>
    </row>
    <row r="991" ht="13.5" customHeight="1">
      <c r="B991" s="1"/>
      <c r="C991" s="1"/>
      <c r="D991" s="1"/>
      <c r="E991" s="1"/>
      <c r="F991" s="1"/>
      <c r="G991" s="1"/>
      <c r="H991" s="1"/>
      <c r="I991" s="1"/>
    </row>
    <row r="992" ht="13.5" customHeight="1">
      <c r="B992" s="1"/>
      <c r="C992" s="1"/>
      <c r="D992" s="1"/>
      <c r="E992" s="1"/>
      <c r="F992" s="1"/>
      <c r="G992" s="1"/>
      <c r="H992" s="1"/>
      <c r="I992" s="1"/>
    </row>
    <row r="993" ht="13.5" customHeight="1">
      <c r="B993" s="1"/>
      <c r="C993" s="1"/>
      <c r="D993" s="1"/>
      <c r="E993" s="1"/>
      <c r="F993" s="1"/>
      <c r="G993" s="1"/>
      <c r="H993" s="1"/>
      <c r="I993" s="1"/>
    </row>
    <row r="994" ht="13.5" customHeight="1">
      <c r="B994" s="1"/>
      <c r="C994" s="1"/>
      <c r="D994" s="1"/>
      <c r="E994" s="1"/>
      <c r="F994" s="1"/>
      <c r="G994" s="1"/>
      <c r="H994" s="1"/>
      <c r="I994" s="1"/>
    </row>
    <row r="995" ht="13.5" customHeight="1">
      <c r="B995" s="1"/>
      <c r="C995" s="1"/>
      <c r="D995" s="1"/>
      <c r="E995" s="1"/>
      <c r="F995" s="1"/>
      <c r="G995" s="1"/>
      <c r="H995" s="1"/>
      <c r="I995" s="1"/>
    </row>
    <row r="996" ht="13.5" customHeight="1">
      <c r="B996" s="1"/>
      <c r="C996" s="1"/>
      <c r="D996" s="1"/>
      <c r="E996" s="1"/>
      <c r="F996" s="1"/>
      <c r="G996" s="1"/>
      <c r="H996" s="1"/>
      <c r="I996" s="1"/>
    </row>
    <row r="997" ht="13.5" customHeight="1">
      <c r="B997" s="1"/>
      <c r="C997" s="1"/>
      <c r="D997" s="1"/>
      <c r="E997" s="1"/>
      <c r="F997" s="1"/>
      <c r="G997" s="1"/>
      <c r="H997" s="1"/>
      <c r="I997" s="1"/>
    </row>
    <row r="998" ht="13.5" customHeight="1">
      <c r="B998" s="1"/>
      <c r="C998" s="1"/>
      <c r="D998" s="1"/>
      <c r="E998" s="1"/>
      <c r="F998" s="1"/>
      <c r="G998" s="1"/>
      <c r="H998" s="1"/>
      <c r="I998" s="1"/>
    </row>
    <row r="999" ht="13.5" customHeight="1">
      <c r="B999" s="1"/>
      <c r="C999" s="1"/>
      <c r="D999" s="1"/>
      <c r="E999" s="1"/>
      <c r="F999" s="1"/>
      <c r="G999" s="1"/>
      <c r="H999" s="1"/>
      <c r="I999" s="1"/>
    </row>
    <row r="1000" ht="13.5" customHeight="1">
      <c r="B1000" s="1"/>
      <c r="C1000" s="1"/>
      <c r="D1000" s="1"/>
      <c r="E1000" s="1"/>
      <c r="F1000" s="1"/>
      <c r="G1000" s="1"/>
      <c r="H1000" s="1"/>
      <c r="I1000" s="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6.86"/>
    <col customWidth="1" min="3" max="3" width="18.86"/>
    <col customWidth="1" min="4" max="4" width="26.29"/>
    <col customWidth="1" min="5" max="26" width="12.71"/>
  </cols>
  <sheetData>
    <row r="1" ht="26.25" customHeight="1">
      <c r="A1" s="44"/>
      <c r="B1" s="45" t="s">
        <v>106</v>
      </c>
      <c r="C1" s="45" t="s">
        <v>609</v>
      </c>
      <c r="D1" s="46"/>
      <c r="E1" s="44"/>
      <c r="F1" s="4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44"/>
      <c r="B2" s="1" t="s">
        <v>610</v>
      </c>
      <c r="C2" s="47" t="s">
        <v>611</v>
      </c>
      <c r="D2" s="46"/>
      <c r="E2" s="44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44"/>
      <c r="B3" s="1" t="s">
        <v>612</v>
      </c>
      <c r="C3" s="47" t="s">
        <v>613</v>
      </c>
      <c r="D3" s="46"/>
      <c r="E3" s="44"/>
      <c r="F3" s="4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44"/>
      <c r="B4" s="1" t="s">
        <v>614</v>
      </c>
      <c r="C4" s="47" t="s">
        <v>615</v>
      </c>
      <c r="D4" s="46"/>
      <c r="E4" s="44"/>
      <c r="F4" s="4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48"/>
      <c r="C5" s="46"/>
      <c r="D5" s="46"/>
      <c r="E5" s="44"/>
      <c r="F5" s="4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48"/>
      <c r="C6" s="46"/>
      <c r="D6" s="46"/>
      <c r="E6" s="44"/>
      <c r="F6" s="4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9.0" customHeight="1">
      <c r="A7" s="1"/>
      <c r="B7" s="49" t="s">
        <v>58</v>
      </c>
      <c r="C7" s="45" t="s">
        <v>616</v>
      </c>
      <c r="D7" s="45" t="s">
        <v>617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 t="s">
        <v>74</v>
      </c>
      <c r="C8" s="50">
        <v>0.8</v>
      </c>
      <c r="D8" s="50">
        <v>0.3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 t="s">
        <v>75</v>
      </c>
      <c r="C9" s="50">
        <v>0.75</v>
      </c>
      <c r="D9" s="50">
        <v>0.3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 t="s">
        <v>76</v>
      </c>
      <c r="C10" s="50">
        <v>0.9</v>
      </c>
      <c r="D10" s="50">
        <v>0.1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 t="s">
        <v>77</v>
      </c>
      <c r="C11" s="50">
        <v>0.6</v>
      </c>
      <c r="D11" s="50">
        <v>0.2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 t="s">
        <v>78</v>
      </c>
      <c r="C12" s="50">
        <v>0.5</v>
      </c>
      <c r="D12" s="50">
        <v>0.4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4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4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6.25" customHeight="1">
      <c r="A15" s="1"/>
      <c r="B15" s="45" t="s">
        <v>106</v>
      </c>
      <c r="C15" s="45" t="s">
        <v>102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 t="s">
        <v>610</v>
      </c>
      <c r="C16" s="51">
        <v>0.005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 t="s">
        <v>612</v>
      </c>
      <c r="C17" s="52">
        <v>0.0075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 t="s">
        <v>614</v>
      </c>
      <c r="C18" s="51">
        <v>0.01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</row>
    <row r="20" ht="13.5" customHeight="1">
      <c r="A20" s="1"/>
      <c r="B20" s="1"/>
      <c r="C20" s="1"/>
      <c r="D20" s="1"/>
    </row>
    <row r="21" ht="13.5" customHeight="1">
      <c r="A21" s="1"/>
      <c r="B21" s="1"/>
      <c r="C21" s="1"/>
      <c r="D21" s="1"/>
    </row>
    <row r="22" ht="13.5" customHeight="1">
      <c r="A22" s="1"/>
      <c r="B22" s="1"/>
      <c r="C22" s="1"/>
      <c r="D22" s="1"/>
    </row>
    <row r="23" ht="13.5" customHeight="1">
      <c r="A23" s="1"/>
      <c r="B23" s="1"/>
      <c r="C23" s="1"/>
      <c r="D23" s="1"/>
    </row>
    <row r="24" ht="13.5" customHeight="1">
      <c r="A24" s="1"/>
      <c r="B24" s="1"/>
      <c r="C24" s="1"/>
      <c r="D24" s="1"/>
    </row>
    <row r="25" ht="13.5" customHeight="1">
      <c r="A25" s="1"/>
      <c r="B25" s="1"/>
      <c r="C25" s="1"/>
      <c r="D25" s="1"/>
    </row>
    <row r="26" ht="13.5" customHeight="1">
      <c r="A26" s="1"/>
      <c r="B26" s="1"/>
      <c r="C26" s="1"/>
      <c r="D26" s="1"/>
    </row>
    <row r="27" ht="13.5" customHeight="1">
      <c r="A27" s="1"/>
      <c r="B27" s="1"/>
      <c r="C27" s="1"/>
      <c r="D27" s="1"/>
    </row>
    <row r="28" ht="13.5" customHeight="1">
      <c r="A28" s="1"/>
      <c r="B28" s="1"/>
      <c r="C28" s="1"/>
      <c r="D28" s="1"/>
    </row>
    <row r="29" ht="13.5" customHeight="1">
      <c r="A29" s="1"/>
      <c r="B29" s="1"/>
      <c r="C29" s="1"/>
      <c r="D29" s="1"/>
    </row>
    <row r="30" ht="13.5" customHeight="1">
      <c r="A30" s="1"/>
      <c r="B30" s="1"/>
      <c r="C30" s="1"/>
      <c r="D30" s="1"/>
    </row>
    <row r="31" ht="13.5" customHeight="1">
      <c r="A31" s="1"/>
      <c r="B31" s="1"/>
      <c r="C31" s="1"/>
      <c r="D31" s="1"/>
    </row>
    <row r="32" ht="13.5" customHeight="1">
      <c r="A32" s="1"/>
      <c r="B32" s="1"/>
      <c r="C32" s="1"/>
      <c r="D32" s="1"/>
    </row>
    <row r="33" ht="13.5" customHeight="1">
      <c r="A33" s="1"/>
      <c r="B33" s="1"/>
      <c r="C33" s="1"/>
      <c r="D33" s="1"/>
    </row>
    <row r="34" ht="13.5" customHeight="1">
      <c r="A34" s="1"/>
      <c r="B34" s="1"/>
      <c r="C34" s="1"/>
      <c r="D34" s="1"/>
    </row>
    <row r="35" ht="13.5" customHeight="1">
      <c r="A35" s="1"/>
      <c r="B35" s="1"/>
      <c r="C35" s="1"/>
      <c r="D35" s="1"/>
    </row>
    <row r="36" ht="13.5" customHeight="1">
      <c r="A36" s="1"/>
      <c r="B36" s="1"/>
      <c r="C36" s="1"/>
      <c r="D36" s="1"/>
    </row>
    <row r="37" ht="13.5" customHeight="1">
      <c r="A37" s="1"/>
      <c r="B37" s="1"/>
      <c r="C37" s="1"/>
      <c r="D37" s="1"/>
    </row>
    <row r="38" ht="13.5" customHeight="1">
      <c r="A38" s="1"/>
      <c r="B38" s="1"/>
      <c r="C38" s="1"/>
      <c r="D38" s="1"/>
    </row>
    <row r="39" ht="13.5" customHeight="1">
      <c r="A39" s="1"/>
      <c r="B39" s="1"/>
      <c r="C39" s="1"/>
      <c r="D39" s="1"/>
    </row>
    <row r="40" ht="13.5" customHeight="1">
      <c r="A40" s="1"/>
      <c r="B40" s="1"/>
      <c r="C40" s="1"/>
      <c r="D40" s="1"/>
    </row>
    <row r="41" ht="13.5" customHeight="1">
      <c r="A41" s="1"/>
      <c r="B41" s="1"/>
      <c r="C41" s="1"/>
      <c r="D41" s="1"/>
    </row>
    <row r="42" ht="13.5" customHeight="1">
      <c r="A42" s="1"/>
      <c r="B42" s="1"/>
      <c r="C42" s="1"/>
      <c r="D42" s="1"/>
    </row>
    <row r="43" ht="13.5" customHeight="1">
      <c r="A43" s="1"/>
      <c r="B43" s="1"/>
      <c r="C43" s="1"/>
      <c r="D43" s="1"/>
    </row>
    <row r="44" ht="13.5" customHeight="1">
      <c r="A44" s="1"/>
      <c r="B44" s="1"/>
      <c r="C44" s="1"/>
      <c r="D44" s="1"/>
    </row>
    <row r="45" ht="13.5" customHeight="1">
      <c r="A45" s="1"/>
      <c r="B45" s="1"/>
      <c r="C45" s="1"/>
      <c r="D45" s="1"/>
    </row>
    <row r="46" ht="13.5" customHeight="1">
      <c r="A46" s="1"/>
      <c r="B46" s="1"/>
      <c r="C46" s="1"/>
      <c r="D46" s="1"/>
    </row>
    <row r="47" ht="13.5" customHeight="1">
      <c r="A47" s="1"/>
      <c r="B47" s="1"/>
      <c r="C47" s="1"/>
      <c r="D47" s="1"/>
    </row>
    <row r="48" ht="13.5" customHeight="1">
      <c r="A48" s="1"/>
      <c r="B48" s="1"/>
      <c r="C48" s="1"/>
      <c r="D48" s="1"/>
    </row>
    <row r="49" ht="13.5" customHeight="1">
      <c r="A49" s="1"/>
      <c r="B49" s="1"/>
      <c r="C49" s="1"/>
      <c r="D49" s="1"/>
    </row>
    <row r="50" ht="13.5" customHeight="1">
      <c r="A50" s="1"/>
      <c r="B50" s="1"/>
      <c r="C50" s="1"/>
      <c r="D50" s="1"/>
    </row>
    <row r="51" ht="13.5" customHeight="1">
      <c r="A51" s="1"/>
      <c r="B51" s="1"/>
      <c r="C51" s="1"/>
      <c r="D51" s="1"/>
    </row>
    <row r="52" ht="13.5" customHeight="1">
      <c r="A52" s="1"/>
      <c r="B52" s="1"/>
      <c r="C52" s="1"/>
      <c r="D52" s="1"/>
    </row>
    <row r="53" ht="13.5" customHeight="1">
      <c r="A53" s="1"/>
      <c r="B53" s="1"/>
      <c r="C53" s="1"/>
      <c r="D53" s="1"/>
    </row>
    <row r="54" ht="13.5" customHeight="1">
      <c r="A54" s="1"/>
      <c r="B54" s="1"/>
      <c r="C54" s="1"/>
      <c r="D54" s="1"/>
    </row>
    <row r="55" ht="13.5" customHeight="1">
      <c r="A55" s="1"/>
      <c r="B55" s="1"/>
      <c r="C55" s="1"/>
      <c r="D55" s="1"/>
    </row>
    <row r="56" ht="13.5" customHeight="1">
      <c r="A56" s="1"/>
      <c r="B56" s="1"/>
      <c r="C56" s="1"/>
      <c r="D56" s="1"/>
    </row>
    <row r="57" ht="13.5" customHeight="1">
      <c r="A57" s="1"/>
      <c r="B57" s="1"/>
      <c r="C57" s="1"/>
      <c r="D57" s="1"/>
    </row>
    <row r="58" ht="13.5" customHeight="1">
      <c r="A58" s="1"/>
      <c r="B58" s="1"/>
      <c r="C58" s="1"/>
      <c r="D58" s="1"/>
    </row>
    <row r="59" ht="13.5" customHeight="1">
      <c r="A59" s="1"/>
      <c r="B59" s="1"/>
      <c r="C59" s="1"/>
      <c r="D59" s="1"/>
    </row>
    <row r="60" ht="13.5" customHeight="1">
      <c r="A60" s="1"/>
      <c r="B60" s="1"/>
      <c r="C60" s="1"/>
      <c r="D60" s="1"/>
    </row>
    <row r="61" ht="13.5" customHeight="1">
      <c r="A61" s="1"/>
      <c r="B61" s="1"/>
      <c r="C61" s="1"/>
      <c r="D61" s="1"/>
    </row>
    <row r="62" ht="13.5" customHeight="1">
      <c r="A62" s="1"/>
      <c r="B62" s="1"/>
      <c r="C62" s="1"/>
      <c r="D62" s="1"/>
    </row>
    <row r="63" ht="13.5" customHeight="1">
      <c r="A63" s="1"/>
      <c r="B63" s="1"/>
      <c r="C63" s="1"/>
      <c r="D63" s="1"/>
    </row>
    <row r="64" ht="13.5" customHeight="1">
      <c r="A64" s="1"/>
      <c r="B64" s="1"/>
      <c r="C64" s="1"/>
      <c r="D64" s="1"/>
    </row>
    <row r="65" ht="13.5" customHeight="1">
      <c r="A65" s="1"/>
      <c r="B65" s="1"/>
      <c r="C65" s="1"/>
      <c r="D65" s="1"/>
    </row>
    <row r="66" ht="13.5" customHeight="1">
      <c r="A66" s="1"/>
      <c r="B66" s="1"/>
      <c r="C66" s="1"/>
      <c r="D66" s="1"/>
    </row>
    <row r="67" ht="13.5" customHeight="1">
      <c r="A67" s="1"/>
      <c r="B67" s="1"/>
      <c r="C67" s="1"/>
      <c r="D67" s="1"/>
    </row>
    <row r="68" ht="13.5" customHeight="1">
      <c r="A68" s="1"/>
      <c r="B68" s="1"/>
      <c r="C68" s="1"/>
      <c r="D68" s="1"/>
    </row>
    <row r="69" ht="13.5" customHeight="1">
      <c r="A69" s="1"/>
      <c r="B69" s="1"/>
      <c r="C69" s="1"/>
      <c r="D69" s="1"/>
    </row>
    <row r="70" ht="13.5" customHeight="1">
      <c r="A70" s="1"/>
      <c r="B70" s="1"/>
      <c r="C70" s="1"/>
      <c r="D70" s="1"/>
    </row>
    <row r="71" ht="13.5" customHeight="1">
      <c r="A71" s="1"/>
      <c r="B71" s="1"/>
      <c r="C71" s="1"/>
      <c r="D71" s="1"/>
    </row>
    <row r="72" ht="13.5" customHeight="1">
      <c r="A72" s="1"/>
      <c r="B72" s="1"/>
      <c r="C72" s="1"/>
      <c r="D72" s="1"/>
    </row>
    <row r="73" ht="13.5" customHeight="1">
      <c r="A73" s="1"/>
      <c r="B73" s="1"/>
      <c r="C73" s="1"/>
      <c r="D73" s="1"/>
    </row>
    <row r="74" ht="13.5" customHeight="1">
      <c r="A74" s="1"/>
      <c r="B74" s="1"/>
      <c r="C74" s="1"/>
      <c r="D74" s="1"/>
    </row>
    <row r="75" ht="13.5" customHeight="1">
      <c r="A75" s="1"/>
      <c r="B75" s="1"/>
      <c r="C75" s="1"/>
      <c r="D75" s="1"/>
    </row>
    <row r="76" ht="13.5" customHeight="1">
      <c r="A76" s="1"/>
      <c r="B76" s="1"/>
      <c r="C76" s="1"/>
      <c r="D76" s="1"/>
    </row>
    <row r="77" ht="13.5" customHeight="1">
      <c r="A77" s="1"/>
      <c r="B77" s="1"/>
      <c r="C77" s="1"/>
      <c r="D77" s="1"/>
    </row>
    <row r="78" ht="13.5" customHeight="1">
      <c r="A78" s="1"/>
      <c r="B78" s="1"/>
      <c r="C78" s="1"/>
      <c r="D78" s="1"/>
    </row>
    <row r="79" ht="13.5" customHeight="1">
      <c r="A79" s="1"/>
      <c r="B79" s="1"/>
      <c r="C79" s="1"/>
      <c r="D79" s="1"/>
    </row>
    <row r="80" ht="13.5" customHeight="1">
      <c r="A80" s="1"/>
      <c r="B80" s="1"/>
      <c r="C80" s="1"/>
      <c r="D80" s="1"/>
    </row>
    <row r="81" ht="13.5" customHeight="1">
      <c r="A81" s="1"/>
      <c r="B81" s="1"/>
      <c r="C81" s="1"/>
      <c r="D81" s="1"/>
    </row>
    <row r="82" ht="13.5" customHeight="1">
      <c r="A82" s="1"/>
      <c r="B82" s="1"/>
      <c r="C82" s="1"/>
      <c r="D82" s="1"/>
    </row>
    <row r="83" ht="13.5" customHeight="1">
      <c r="A83" s="1"/>
      <c r="B83" s="1"/>
      <c r="C83" s="1"/>
      <c r="D83" s="1"/>
    </row>
    <row r="84" ht="13.5" customHeight="1">
      <c r="A84" s="1"/>
      <c r="B84" s="1"/>
      <c r="C84" s="1"/>
      <c r="D84" s="1"/>
    </row>
    <row r="85" ht="13.5" customHeight="1">
      <c r="A85" s="1"/>
      <c r="B85" s="1"/>
      <c r="C85" s="1"/>
      <c r="D85" s="1"/>
    </row>
    <row r="86" ht="13.5" customHeight="1">
      <c r="A86" s="1"/>
      <c r="B86" s="1"/>
      <c r="C86" s="1"/>
      <c r="D86" s="1"/>
    </row>
    <row r="87" ht="13.5" customHeight="1">
      <c r="A87" s="1"/>
      <c r="B87" s="1"/>
      <c r="C87" s="1"/>
      <c r="D87" s="1"/>
    </row>
    <row r="88" ht="13.5" customHeight="1">
      <c r="A88" s="1"/>
      <c r="B88" s="1"/>
      <c r="C88" s="1"/>
      <c r="D88" s="1"/>
    </row>
    <row r="89" ht="13.5" customHeight="1">
      <c r="A89" s="1"/>
      <c r="B89" s="1"/>
      <c r="C89" s="1"/>
      <c r="D89" s="1"/>
    </row>
    <row r="90" ht="13.5" customHeight="1">
      <c r="A90" s="1"/>
      <c r="B90" s="1"/>
      <c r="C90" s="1"/>
      <c r="D90" s="1"/>
    </row>
    <row r="91" ht="13.5" customHeight="1">
      <c r="A91" s="1"/>
      <c r="B91" s="1"/>
      <c r="C91" s="1"/>
      <c r="D91" s="1"/>
    </row>
    <row r="92" ht="13.5" customHeight="1">
      <c r="A92" s="1"/>
      <c r="B92" s="1"/>
      <c r="C92" s="1"/>
      <c r="D92" s="1"/>
    </row>
    <row r="93" ht="13.5" customHeight="1">
      <c r="A93" s="1"/>
      <c r="B93" s="1"/>
      <c r="C93" s="1"/>
      <c r="D93" s="1"/>
    </row>
    <row r="94" ht="13.5" customHeight="1">
      <c r="A94" s="1"/>
      <c r="B94" s="1"/>
      <c r="C94" s="1"/>
      <c r="D94" s="1"/>
    </row>
    <row r="95" ht="13.5" customHeight="1">
      <c r="A95" s="1"/>
      <c r="B95" s="1"/>
      <c r="C95" s="1"/>
      <c r="D95" s="1"/>
    </row>
    <row r="96" ht="13.5" customHeight="1">
      <c r="A96" s="1"/>
      <c r="B96" s="1"/>
      <c r="C96" s="1"/>
      <c r="D96" s="1"/>
    </row>
    <row r="97" ht="13.5" customHeight="1">
      <c r="A97" s="1"/>
      <c r="B97" s="1"/>
      <c r="C97" s="1"/>
      <c r="D97" s="1"/>
    </row>
    <row r="98" ht="13.5" customHeight="1">
      <c r="A98" s="1"/>
      <c r="B98" s="1"/>
      <c r="C98" s="1"/>
      <c r="D98" s="1"/>
    </row>
    <row r="99" ht="13.5" customHeight="1">
      <c r="A99" s="1"/>
      <c r="B99" s="1"/>
      <c r="C99" s="1"/>
      <c r="D99" s="1"/>
    </row>
    <row r="100" ht="13.5" customHeight="1">
      <c r="A100" s="1"/>
      <c r="B100" s="1"/>
      <c r="C100" s="1"/>
      <c r="D100" s="1"/>
    </row>
    <row r="101" ht="13.5" customHeight="1">
      <c r="A101" s="1"/>
      <c r="B101" s="1"/>
      <c r="C101" s="1"/>
      <c r="D101" s="1"/>
    </row>
    <row r="102" ht="13.5" customHeight="1">
      <c r="A102" s="1"/>
      <c r="B102" s="1"/>
      <c r="C102" s="1"/>
      <c r="D102" s="1"/>
    </row>
    <row r="103" ht="13.5" customHeight="1">
      <c r="A103" s="1"/>
      <c r="B103" s="1"/>
      <c r="C103" s="1"/>
      <c r="D103" s="1"/>
    </row>
    <row r="104" ht="13.5" customHeight="1">
      <c r="A104" s="1"/>
      <c r="B104" s="1"/>
      <c r="C104" s="1"/>
      <c r="D104" s="1"/>
    </row>
    <row r="105" ht="13.5" customHeight="1">
      <c r="A105" s="1"/>
      <c r="B105" s="1"/>
      <c r="C105" s="1"/>
      <c r="D105" s="1"/>
    </row>
    <row r="106" ht="13.5" customHeight="1">
      <c r="A106" s="1"/>
      <c r="B106" s="1"/>
      <c r="C106" s="1"/>
      <c r="D106" s="1"/>
    </row>
    <row r="107" ht="13.5" customHeight="1">
      <c r="A107" s="1"/>
      <c r="B107" s="1"/>
      <c r="C107" s="1"/>
      <c r="D107" s="1"/>
    </row>
    <row r="108" ht="13.5" customHeight="1">
      <c r="A108" s="1"/>
      <c r="B108" s="1"/>
      <c r="C108" s="1"/>
      <c r="D108" s="1"/>
    </row>
    <row r="109" ht="13.5" customHeight="1">
      <c r="A109" s="1"/>
      <c r="B109" s="1"/>
      <c r="C109" s="1"/>
      <c r="D109" s="1"/>
    </row>
    <row r="110" ht="13.5" customHeight="1">
      <c r="A110" s="1"/>
      <c r="B110" s="1"/>
      <c r="C110" s="1"/>
      <c r="D110" s="1"/>
    </row>
    <row r="111" ht="13.5" customHeight="1">
      <c r="A111" s="1"/>
      <c r="B111" s="1"/>
      <c r="C111" s="1"/>
      <c r="D111" s="1"/>
    </row>
    <row r="112" ht="13.5" customHeight="1">
      <c r="A112" s="1"/>
      <c r="B112" s="1"/>
      <c r="C112" s="1"/>
      <c r="D112" s="1"/>
    </row>
    <row r="113" ht="13.5" customHeight="1">
      <c r="A113" s="1"/>
      <c r="B113" s="1"/>
      <c r="C113" s="1"/>
      <c r="D113" s="1"/>
    </row>
    <row r="114" ht="13.5" customHeight="1">
      <c r="A114" s="1"/>
      <c r="B114" s="1"/>
      <c r="C114" s="1"/>
      <c r="D114" s="1"/>
    </row>
    <row r="115" ht="13.5" customHeight="1">
      <c r="A115" s="1"/>
      <c r="B115" s="1"/>
      <c r="C115" s="1"/>
      <c r="D115" s="1"/>
    </row>
    <row r="116" ht="13.5" customHeight="1">
      <c r="A116" s="1"/>
      <c r="B116" s="1"/>
      <c r="C116" s="1"/>
      <c r="D116" s="1"/>
    </row>
    <row r="117" ht="13.5" customHeight="1">
      <c r="A117" s="1"/>
      <c r="B117" s="1"/>
      <c r="C117" s="1"/>
      <c r="D117" s="1"/>
    </row>
    <row r="118" ht="13.5" customHeight="1">
      <c r="A118" s="1"/>
      <c r="B118" s="1"/>
      <c r="C118" s="1"/>
      <c r="D118" s="1"/>
    </row>
    <row r="119" ht="13.5" customHeight="1">
      <c r="A119" s="1"/>
      <c r="B119" s="1"/>
      <c r="C119" s="1"/>
      <c r="D119" s="1"/>
    </row>
    <row r="120" ht="13.5" customHeight="1">
      <c r="A120" s="1"/>
      <c r="B120" s="1"/>
      <c r="C120" s="1"/>
      <c r="D120" s="1"/>
    </row>
    <row r="121" ht="13.5" customHeight="1">
      <c r="A121" s="1"/>
      <c r="B121" s="1"/>
      <c r="C121" s="1"/>
      <c r="D121" s="1"/>
    </row>
    <row r="122" ht="13.5" customHeight="1">
      <c r="A122" s="1"/>
      <c r="B122" s="1"/>
      <c r="C122" s="1"/>
      <c r="D122" s="1"/>
    </row>
    <row r="123" ht="13.5" customHeight="1">
      <c r="A123" s="1"/>
      <c r="B123" s="1"/>
      <c r="C123" s="1"/>
      <c r="D123" s="1"/>
    </row>
    <row r="124" ht="13.5" customHeight="1">
      <c r="A124" s="1"/>
      <c r="B124" s="1"/>
      <c r="C124" s="1"/>
      <c r="D124" s="1"/>
    </row>
    <row r="125" ht="13.5" customHeight="1">
      <c r="A125" s="1"/>
      <c r="B125" s="1"/>
      <c r="C125" s="1"/>
      <c r="D125" s="1"/>
    </row>
    <row r="126" ht="13.5" customHeight="1">
      <c r="A126" s="1"/>
      <c r="B126" s="1"/>
      <c r="C126" s="1"/>
      <c r="D126" s="1"/>
    </row>
    <row r="127" ht="13.5" customHeight="1">
      <c r="A127" s="1"/>
      <c r="B127" s="1"/>
      <c r="C127" s="1"/>
      <c r="D127" s="1"/>
    </row>
    <row r="128" ht="13.5" customHeight="1">
      <c r="A128" s="1"/>
      <c r="B128" s="1"/>
      <c r="C128" s="1"/>
      <c r="D128" s="1"/>
    </row>
    <row r="129" ht="13.5" customHeight="1">
      <c r="A129" s="1"/>
      <c r="B129" s="1"/>
      <c r="C129" s="1"/>
      <c r="D129" s="1"/>
    </row>
    <row r="130" ht="13.5" customHeight="1">
      <c r="A130" s="1"/>
      <c r="B130" s="1"/>
      <c r="C130" s="1"/>
      <c r="D130" s="1"/>
    </row>
    <row r="131" ht="13.5" customHeight="1">
      <c r="A131" s="1"/>
      <c r="B131" s="1"/>
      <c r="C131" s="1"/>
      <c r="D131" s="1"/>
    </row>
    <row r="132" ht="13.5" customHeight="1">
      <c r="A132" s="1"/>
      <c r="B132" s="1"/>
      <c r="C132" s="1"/>
      <c r="D132" s="1"/>
    </row>
    <row r="133" ht="13.5" customHeight="1">
      <c r="A133" s="1"/>
      <c r="B133" s="1"/>
      <c r="C133" s="1"/>
      <c r="D133" s="1"/>
    </row>
    <row r="134" ht="13.5" customHeight="1">
      <c r="A134" s="1"/>
      <c r="B134" s="1"/>
      <c r="C134" s="1"/>
      <c r="D134" s="1"/>
    </row>
    <row r="135" ht="13.5" customHeight="1">
      <c r="A135" s="1"/>
      <c r="B135" s="1"/>
      <c r="C135" s="1"/>
      <c r="D135" s="1"/>
    </row>
    <row r="136" ht="13.5" customHeight="1">
      <c r="A136" s="1"/>
      <c r="B136" s="1"/>
      <c r="C136" s="1"/>
      <c r="D136" s="1"/>
    </row>
    <row r="137" ht="13.5" customHeight="1">
      <c r="A137" s="1"/>
      <c r="B137" s="1"/>
      <c r="C137" s="1"/>
      <c r="D137" s="1"/>
    </row>
    <row r="138" ht="13.5" customHeight="1">
      <c r="A138" s="1"/>
      <c r="B138" s="1"/>
      <c r="C138" s="1"/>
      <c r="D138" s="1"/>
    </row>
    <row r="139" ht="13.5" customHeight="1">
      <c r="A139" s="1"/>
      <c r="B139" s="1"/>
      <c r="C139" s="1"/>
      <c r="D139" s="1"/>
    </row>
    <row r="140" ht="13.5" customHeight="1">
      <c r="A140" s="1"/>
      <c r="B140" s="1"/>
      <c r="C140" s="1"/>
      <c r="D140" s="1"/>
    </row>
    <row r="141" ht="13.5" customHeight="1">
      <c r="A141" s="1"/>
      <c r="B141" s="1"/>
      <c r="C141" s="1"/>
      <c r="D141" s="1"/>
    </row>
    <row r="142" ht="13.5" customHeight="1">
      <c r="A142" s="1"/>
      <c r="B142" s="1"/>
      <c r="C142" s="1"/>
      <c r="D142" s="1"/>
    </row>
    <row r="143" ht="13.5" customHeight="1">
      <c r="A143" s="1"/>
      <c r="B143" s="1"/>
      <c r="C143" s="1"/>
      <c r="D143" s="1"/>
    </row>
    <row r="144" ht="13.5" customHeight="1">
      <c r="A144" s="1"/>
      <c r="B144" s="1"/>
      <c r="C144" s="1"/>
      <c r="D144" s="1"/>
    </row>
    <row r="145" ht="13.5" customHeight="1">
      <c r="A145" s="1"/>
      <c r="B145" s="1"/>
      <c r="C145" s="1"/>
      <c r="D145" s="1"/>
    </row>
    <row r="146" ht="13.5" customHeight="1">
      <c r="A146" s="1"/>
      <c r="B146" s="1"/>
      <c r="C146" s="1"/>
      <c r="D146" s="1"/>
    </row>
    <row r="147" ht="13.5" customHeight="1">
      <c r="A147" s="1"/>
      <c r="B147" s="1"/>
      <c r="C147" s="1"/>
      <c r="D147" s="1"/>
    </row>
    <row r="148" ht="13.5" customHeight="1">
      <c r="A148" s="1"/>
      <c r="B148" s="1"/>
      <c r="C148" s="1"/>
      <c r="D148" s="1"/>
    </row>
    <row r="149" ht="13.5" customHeight="1">
      <c r="A149" s="1"/>
      <c r="B149" s="1"/>
      <c r="C149" s="1"/>
      <c r="D149" s="1"/>
    </row>
    <row r="150" ht="13.5" customHeight="1">
      <c r="A150" s="1"/>
      <c r="B150" s="1"/>
      <c r="C150" s="1"/>
      <c r="D150" s="1"/>
    </row>
    <row r="151" ht="13.5" customHeight="1">
      <c r="A151" s="1"/>
      <c r="B151" s="1"/>
      <c r="C151" s="1"/>
      <c r="D151" s="1"/>
    </row>
    <row r="152" ht="13.5" customHeight="1">
      <c r="A152" s="1"/>
      <c r="B152" s="1"/>
      <c r="C152" s="1"/>
      <c r="D152" s="1"/>
    </row>
    <row r="153" ht="13.5" customHeight="1">
      <c r="A153" s="1"/>
      <c r="B153" s="1"/>
      <c r="C153" s="1"/>
      <c r="D153" s="1"/>
    </row>
    <row r="154" ht="13.5" customHeight="1">
      <c r="A154" s="1"/>
      <c r="B154" s="1"/>
      <c r="C154" s="1"/>
      <c r="D154" s="1"/>
    </row>
    <row r="155" ht="13.5" customHeight="1">
      <c r="A155" s="1"/>
      <c r="B155" s="1"/>
      <c r="C155" s="1"/>
      <c r="D155" s="1"/>
    </row>
    <row r="156" ht="13.5" customHeight="1">
      <c r="A156" s="1"/>
      <c r="B156" s="1"/>
      <c r="C156" s="1"/>
      <c r="D156" s="1"/>
    </row>
    <row r="157" ht="13.5" customHeight="1">
      <c r="A157" s="1"/>
      <c r="B157" s="1"/>
      <c r="C157" s="1"/>
      <c r="D157" s="1"/>
    </row>
    <row r="158" ht="13.5" customHeight="1">
      <c r="A158" s="1"/>
      <c r="B158" s="1"/>
      <c r="C158" s="1"/>
      <c r="D158" s="1"/>
    </row>
    <row r="159" ht="13.5" customHeight="1">
      <c r="A159" s="1"/>
      <c r="B159" s="1"/>
      <c r="C159" s="1"/>
      <c r="D159" s="1"/>
    </row>
    <row r="160" ht="13.5" customHeight="1">
      <c r="A160" s="1"/>
      <c r="B160" s="1"/>
      <c r="C160" s="1"/>
      <c r="D160" s="1"/>
    </row>
    <row r="161" ht="13.5" customHeight="1">
      <c r="A161" s="1"/>
      <c r="B161" s="1"/>
      <c r="C161" s="1"/>
      <c r="D161" s="1"/>
    </row>
    <row r="162" ht="13.5" customHeight="1">
      <c r="A162" s="1"/>
      <c r="B162" s="1"/>
      <c r="C162" s="1"/>
      <c r="D162" s="1"/>
    </row>
    <row r="163" ht="13.5" customHeight="1">
      <c r="A163" s="1"/>
      <c r="B163" s="1"/>
      <c r="C163" s="1"/>
      <c r="D163" s="1"/>
    </row>
    <row r="164" ht="13.5" customHeight="1">
      <c r="A164" s="1"/>
      <c r="B164" s="1"/>
      <c r="C164" s="1"/>
      <c r="D164" s="1"/>
    </row>
    <row r="165" ht="13.5" customHeight="1">
      <c r="A165" s="1"/>
      <c r="B165" s="1"/>
      <c r="C165" s="1"/>
      <c r="D165" s="1"/>
    </row>
    <row r="166" ht="13.5" customHeight="1">
      <c r="A166" s="1"/>
      <c r="B166" s="1"/>
      <c r="C166" s="1"/>
      <c r="D166" s="1"/>
    </row>
    <row r="167" ht="13.5" customHeight="1">
      <c r="A167" s="1"/>
      <c r="B167" s="1"/>
      <c r="C167" s="1"/>
      <c r="D167" s="1"/>
    </row>
    <row r="168" ht="13.5" customHeight="1">
      <c r="A168" s="1"/>
      <c r="B168" s="1"/>
      <c r="C168" s="1"/>
      <c r="D168" s="1"/>
    </row>
    <row r="169" ht="13.5" customHeight="1">
      <c r="A169" s="1"/>
      <c r="B169" s="1"/>
      <c r="C169" s="1"/>
      <c r="D169" s="1"/>
    </row>
    <row r="170" ht="13.5" customHeight="1">
      <c r="A170" s="1"/>
      <c r="B170" s="1"/>
      <c r="C170" s="1"/>
      <c r="D170" s="1"/>
    </row>
    <row r="171" ht="13.5" customHeight="1">
      <c r="A171" s="1"/>
      <c r="B171" s="1"/>
      <c r="C171" s="1"/>
      <c r="D171" s="1"/>
    </row>
    <row r="172" ht="13.5" customHeight="1">
      <c r="A172" s="1"/>
      <c r="B172" s="1"/>
      <c r="C172" s="1"/>
      <c r="D172" s="1"/>
    </row>
    <row r="173" ht="13.5" customHeight="1">
      <c r="A173" s="1"/>
      <c r="B173" s="1"/>
      <c r="C173" s="1"/>
      <c r="D173" s="1"/>
    </row>
    <row r="174" ht="13.5" customHeight="1">
      <c r="A174" s="1"/>
      <c r="B174" s="1"/>
      <c r="C174" s="1"/>
      <c r="D174" s="1"/>
    </row>
    <row r="175" ht="13.5" customHeight="1">
      <c r="A175" s="1"/>
      <c r="B175" s="1"/>
      <c r="C175" s="1"/>
      <c r="D175" s="1"/>
    </row>
    <row r="176" ht="13.5" customHeight="1">
      <c r="A176" s="1"/>
      <c r="B176" s="1"/>
      <c r="C176" s="1"/>
      <c r="D176" s="1"/>
    </row>
    <row r="177" ht="13.5" customHeight="1">
      <c r="A177" s="1"/>
      <c r="B177" s="1"/>
      <c r="C177" s="1"/>
      <c r="D177" s="1"/>
    </row>
    <row r="178" ht="13.5" customHeight="1">
      <c r="A178" s="1"/>
      <c r="B178" s="1"/>
      <c r="C178" s="1"/>
      <c r="D178" s="1"/>
    </row>
    <row r="179" ht="13.5" customHeight="1">
      <c r="A179" s="1"/>
      <c r="B179" s="1"/>
      <c r="C179" s="1"/>
      <c r="D179" s="1"/>
    </row>
    <row r="180" ht="13.5" customHeight="1">
      <c r="A180" s="1"/>
      <c r="B180" s="1"/>
      <c r="C180" s="1"/>
      <c r="D180" s="1"/>
    </row>
    <row r="181" ht="13.5" customHeight="1">
      <c r="A181" s="1"/>
      <c r="B181" s="1"/>
      <c r="C181" s="1"/>
      <c r="D181" s="1"/>
    </row>
    <row r="182" ht="13.5" customHeight="1">
      <c r="A182" s="1"/>
      <c r="B182" s="1"/>
      <c r="C182" s="1"/>
      <c r="D182" s="1"/>
    </row>
    <row r="183" ht="13.5" customHeight="1">
      <c r="A183" s="1"/>
      <c r="B183" s="1"/>
      <c r="C183" s="1"/>
      <c r="D183" s="1"/>
    </row>
    <row r="184" ht="13.5" customHeight="1">
      <c r="A184" s="1"/>
      <c r="B184" s="1"/>
      <c r="C184" s="1"/>
      <c r="D184" s="1"/>
    </row>
    <row r="185" ht="13.5" customHeight="1">
      <c r="A185" s="1"/>
      <c r="B185" s="1"/>
      <c r="C185" s="1"/>
      <c r="D185" s="1"/>
    </row>
    <row r="186" ht="13.5" customHeight="1">
      <c r="A186" s="1"/>
      <c r="B186" s="1"/>
      <c r="C186" s="1"/>
      <c r="D186" s="1"/>
    </row>
    <row r="187" ht="13.5" customHeight="1">
      <c r="A187" s="1"/>
      <c r="B187" s="1"/>
      <c r="C187" s="1"/>
      <c r="D187" s="1"/>
    </row>
    <row r="188" ht="13.5" customHeight="1">
      <c r="A188" s="1"/>
      <c r="B188" s="1"/>
      <c r="C188" s="1"/>
      <c r="D188" s="1"/>
    </row>
    <row r="189" ht="13.5" customHeight="1">
      <c r="A189" s="1"/>
      <c r="B189" s="1"/>
      <c r="C189" s="1"/>
      <c r="D189" s="1"/>
    </row>
    <row r="190" ht="13.5" customHeight="1">
      <c r="A190" s="1"/>
      <c r="B190" s="1"/>
      <c r="C190" s="1"/>
      <c r="D190" s="1"/>
    </row>
    <row r="191" ht="13.5" customHeight="1">
      <c r="A191" s="1"/>
      <c r="B191" s="1"/>
      <c r="C191" s="1"/>
      <c r="D191" s="1"/>
    </row>
    <row r="192" ht="13.5" customHeight="1">
      <c r="A192" s="1"/>
      <c r="B192" s="1"/>
      <c r="C192" s="1"/>
      <c r="D192" s="1"/>
    </row>
    <row r="193" ht="13.5" customHeight="1">
      <c r="A193" s="1"/>
      <c r="B193" s="1"/>
      <c r="C193" s="1"/>
      <c r="D193" s="1"/>
    </row>
    <row r="194" ht="13.5" customHeight="1">
      <c r="A194" s="1"/>
      <c r="B194" s="1"/>
      <c r="C194" s="1"/>
      <c r="D194" s="1"/>
    </row>
    <row r="195" ht="13.5" customHeight="1">
      <c r="A195" s="1"/>
      <c r="B195" s="1"/>
      <c r="C195" s="1"/>
      <c r="D195" s="1"/>
    </row>
    <row r="196" ht="13.5" customHeight="1">
      <c r="A196" s="1"/>
      <c r="B196" s="1"/>
      <c r="C196" s="1"/>
      <c r="D196" s="1"/>
    </row>
    <row r="197" ht="13.5" customHeight="1">
      <c r="A197" s="1"/>
      <c r="B197" s="1"/>
      <c r="C197" s="1"/>
      <c r="D197" s="1"/>
    </row>
    <row r="198" ht="13.5" customHeight="1">
      <c r="A198" s="1"/>
      <c r="B198" s="1"/>
      <c r="C198" s="1"/>
      <c r="D198" s="1"/>
    </row>
    <row r="199" ht="13.5" customHeight="1">
      <c r="A199" s="1"/>
      <c r="B199" s="1"/>
      <c r="C199" s="1"/>
      <c r="D199" s="1"/>
    </row>
    <row r="200" ht="13.5" customHeight="1">
      <c r="A200" s="1"/>
      <c r="B200" s="1"/>
      <c r="C200" s="1"/>
      <c r="D200" s="1"/>
    </row>
    <row r="201" ht="13.5" customHeight="1">
      <c r="A201" s="1"/>
      <c r="B201" s="1"/>
      <c r="C201" s="1"/>
      <c r="D201" s="1"/>
    </row>
    <row r="202" ht="13.5" customHeight="1">
      <c r="A202" s="1"/>
      <c r="B202" s="1"/>
      <c r="C202" s="1"/>
      <c r="D202" s="1"/>
    </row>
    <row r="203" ht="13.5" customHeight="1">
      <c r="A203" s="1"/>
      <c r="B203" s="1"/>
      <c r="C203" s="1"/>
      <c r="D203" s="1"/>
    </row>
    <row r="204" ht="13.5" customHeight="1">
      <c r="A204" s="1"/>
      <c r="B204" s="1"/>
      <c r="C204" s="1"/>
      <c r="D204" s="1"/>
    </row>
    <row r="205" ht="13.5" customHeight="1">
      <c r="A205" s="1"/>
      <c r="B205" s="1"/>
      <c r="C205" s="1"/>
      <c r="D205" s="1"/>
    </row>
    <row r="206" ht="13.5" customHeight="1">
      <c r="A206" s="1"/>
      <c r="B206" s="1"/>
      <c r="C206" s="1"/>
      <c r="D206" s="1"/>
    </row>
    <row r="207" ht="13.5" customHeight="1">
      <c r="A207" s="1"/>
      <c r="B207" s="1"/>
      <c r="C207" s="1"/>
      <c r="D207" s="1"/>
    </row>
    <row r="208" ht="13.5" customHeight="1">
      <c r="A208" s="1"/>
      <c r="B208" s="1"/>
      <c r="C208" s="1"/>
      <c r="D208" s="1"/>
    </row>
    <row r="209" ht="13.5" customHeight="1">
      <c r="A209" s="1"/>
      <c r="B209" s="1"/>
      <c r="C209" s="1"/>
      <c r="D209" s="1"/>
    </row>
    <row r="210" ht="13.5" customHeight="1">
      <c r="A210" s="1"/>
      <c r="B210" s="1"/>
      <c r="C210" s="1"/>
      <c r="D210" s="1"/>
    </row>
    <row r="211" ht="13.5" customHeight="1">
      <c r="A211" s="1"/>
      <c r="B211" s="1"/>
      <c r="C211" s="1"/>
      <c r="D211" s="1"/>
    </row>
    <row r="212" ht="13.5" customHeight="1">
      <c r="A212" s="1"/>
      <c r="B212" s="1"/>
      <c r="C212" s="1"/>
      <c r="D212" s="1"/>
    </row>
    <row r="213" ht="13.5" customHeight="1">
      <c r="A213" s="1"/>
      <c r="B213" s="1"/>
      <c r="C213" s="1"/>
      <c r="D213" s="1"/>
    </row>
    <row r="214" ht="13.5" customHeight="1">
      <c r="A214" s="1"/>
      <c r="B214" s="1"/>
      <c r="C214" s="1"/>
      <c r="D214" s="1"/>
    </row>
    <row r="215" ht="13.5" customHeight="1">
      <c r="A215" s="1"/>
      <c r="B215" s="1"/>
      <c r="C215" s="1"/>
      <c r="D215" s="1"/>
    </row>
    <row r="216" ht="13.5" customHeight="1">
      <c r="A216" s="1"/>
      <c r="B216" s="1"/>
      <c r="C216" s="1"/>
      <c r="D216" s="1"/>
    </row>
    <row r="217" ht="13.5" customHeight="1">
      <c r="A217" s="1"/>
      <c r="B217" s="1"/>
      <c r="C217" s="1"/>
      <c r="D217" s="1"/>
    </row>
    <row r="218" ht="13.5" customHeight="1">
      <c r="A218" s="1"/>
      <c r="B218" s="1"/>
      <c r="C218" s="1"/>
      <c r="D218" s="1"/>
    </row>
    <row r="219" ht="13.5" customHeight="1">
      <c r="A219" s="1"/>
      <c r="B219" s="1"/>
      <c r="C219" s="1"/>
      <c r="D219" s="1"/>
    </row>
    <row r="220" ht="13.5" customHeight="1">
      <c r="A220" s="1"/>
      <c r="B220" s="1"/>
      <c r="C220" s="1"/>
      <c r="D220" s="1"/>
    </row>
    <row r="221" ht="13.5" customHeight="1">
      <c r="A221" s="1"/>
      <c r="B221" s="1"/>
      <c r="C221" s="1"/>
      <c r="D221" s="1"/>
    </row>
    <row r="222" ht="13.5" customHeight="1">
      <c r="A222" s="1"/>
      <c r="B222" s="1"/>
      <c r="C222" s="1"/>
      <c r="D222" s="1"/>
    </row>
    <row r="223" ht="13.5" customHeight="1">
      <c r="A223" s="1"/>
      <c r="B223" s="1"/>
      <c r="C223" s="1"/>
      <c r="D223" s="1"/>
    </row>
    <row r="224" ht="13.5" customHeight="1">
      <c r="A224" s="1"/>
      <c r="B224" s="1"/>
      <c r="C224" s="1"/>
      <c r="D224" s="1"/>
    </row>
    <row r="225" ht="13.5" customHeight="1">
      <c r="A225" s="1"/>
      <c r="B225" s="1"/>
      <c r="C225" s="1"/>
      <c r="D225" s="1"/>
    </row>
    <row r="226" ht="13.5" customHeight="1">
      <c r="A226" s="1"/>
      <c r="B226" s="1"/>
      <c r="C226" s="1"/>
      <c r="D226" s="1"/>
    </row>
    <row r="227" ht="13.5" customHeight="1">
      <c r="A227" s="1"/>
      <c r="B227" s="1"/>
      <c r="C227" s="1"/>
      <c r="D227" s="1"/>
    </row>
    <row r="228" ht="13.5" customHeight="1">
      <c r="A228" s="1"/>
      <c r="B228" s="1"/>
      <c r="C228" s="1"/>
      <c r="D228" s="1"/>
    </row>
    <row r="229" ht="13.5" customHeight="1">
      <c r="A229" s="1"/>
      <c r="B229" s="1"/>
      <c r="C229" s="1"/>
      <c r="D229" s="1"/>
    </row>
    <row r="230" ht="13.5" customHeight="1">
      <c r="A230" s="1"/>
      <c r="B230" s="1"/>
      <c r="C230" s="1"/>
      <c r="D230" s="1"/>
    </row>
    <row r="231" ht="13.5" customHeight="1">
      <c r="A231" s="1"/>
      <c r="B231" s="1"/>
      <c r="C231" s="1"/>
      <c r="D231" s="1"/>
    </row>
    <row r="232" ht="13.5" customHeight="1">
      <c r="A232" s="1"/>
      <c r="B232" s="1"/>
      <c r="C232" s="1"/>
      <c r="D232" s="1"/>
    </row>
    <row r="233" ht="13.5" customHeight="1">
      <c r="A233" s="1"/>
      <c r="B233" s="1"/>
      <c r="C233" s="1"/>
      <c r="D233" s="1"/>
    </row>
    <row r="234" ht="13.5" customHeight="1">
      <c r="A234" s="1"/>
      <c r="B234" s="1"/>
      <c r="C234" s="1"/>
      <c r="D234" s="1"/>
    </row>
    <row r="235" ht="13.5" customHeight="1">
      <c r="A235" s="1"/>
      <c r="B235" s="1"/>
      <c r="C235" s="1"/>
      <c r="D235" s="1"/>
    </row>
    <row r="236" ht="13.5" customHeight="1">
      <c r="A236" s="1"/>
      <c r="B236" s="1"/>
      <c r="C236" s="1"/>
      <c r="D236" s="1"/>
    </row>
    <row r="237" ht="13.5" customHeight="1">
      <c r="A237" s="1"/>
      <c r="B237" s="1"/>
      <c r="C237" s="1"/>
      <c r="D237" s="1"/>
    </row>
    <row r="238" ht="13.5" customHeight="1">
      <c r="A238" s="1"/>
      <c r="B238" s="1"/>
      <c r="C238" s="1"/>
      <c r="D238" s="1"/>
    </row>
    <row r="239" ht="13.5" customHeight="1">
      <c r="A239" s="1"/>
      <c r="B239" s="1"/>
      <c r="C239" s="1"/>
      <c r="D239" s="1"/>
    </row>
    <row r="240" ht="13.5" customHeight="1">
      <c r="A240" s="1"/>
      <c r="B240" s="1"/>
      <c r="C240" s="1"/>
      <c r="D240" s="1"/>
    </row>
    <row r="241" ht="13.5" customHeight="1">
      <c r="A241" s="1"/>
      <c r="B241" s="1"/>
      <c r="C241" s="1"/>
      <c r="D241" s="1"/>
    </row>
    <row r="242" ht="13.5" customHeight="1">
      <c r="A242" s="1"/>
      <c r="B242" s="1"/>
      <c r="C242" s="1"/>
      <c r="D242" s="1"/>
    </row>
    <row r="243" ht="13.5" customHeight="1">
      <c r="A243" s="1"/>
      <c r="B243" s="1"/>
      <c r="C243" s="1"/>
      <c r="D243" s="1"/>
    </row>
    <row r="244" ht="13.5" customHeight="1">
      <c r="A244" s="1"/>
      <c r="B244" s="1"/>
      <c r="C244" s="1"/>
      <c r="D244" s="1"/>
    </row>
    <row r="245" ht="13.5" customHeight="1">
      <c r="A245" s="1"/>
      <c r="B245" s="1"/>
      <c r="C245" s="1"/>
      <c r="D245" s="1"/>
    </row>
    <row r="246" ht="13.5" customHeight="1">
      <c r="A246" s="1"/>
      <c r="B246" s="1"/>
      <c r="C246" s="1"/>
      <c r="D246" s="1"/>
    </row>
    <row r="247" ht="13.5" customHeight="1">
      <c r="A247" s="1"/>
      <c r="B247" s="1"/>
      <c r="C247" s="1"/>
      <c r="D247" s="1"/>
    </row>
    <row r="248" ht="13.5" customHeight="1">
      <c r="A248" s="1"/>
      <c r="B248" s="1"/>
      <c r="C248" s="1"/>
      <c r="D248" s="1"/>
    </row>
    <row r="249" ht="13.5" customHeight="1">
      <c r="A249" s="1"/>
      <c r="B249" s="1"/>
      <c r="C249" s="1"/>
      <c r="D249" s="1"/>
    </row>
    <row r="250" ht="13.5" customHeight="1">
      <c r="A250" s="1"/>
      <c r="B250" s="1"/>
      <c r="C250" s="1"/>
      <c r="D250" s="1"/>
    </row>
    <row r="251" ht="13.5" customHeight="1">
      <c r="A251" s="1"/>
      <c r="B251" s="1"/>
      <c r="C251" s="1"/>
      <c r="D251" s="1"/>
    </row>
    <row r="252" ht="13.5" customHeight="1">
      <c r="A252" s="1"/>
      <c r="B252" s="1"/>
      <c r="C252" s="1"/>
      <c r="D252" s="1"/>
    </row>
    <row r="253" ht="13.5" customHeight="1">
      <c r="A253" s="1"/>
      <c r="B253" s="1"/>
      <c r="C253" s="1"/>
      <c r="D253" s="1"/>
    </row>
    <row r="254" ht="13.5" customHeight="1">
      <c r="A254" s="1"/>
      <c r="B254" s="1"/>
      <c r="C254" s="1"/>
      <c r="D254" s="1"/>
    </row>
    <row r="255" ht="13.5" customHeight="1">
      <c r="A255" s="1"/>
      <c r="B255" s="1"/>
      <c r="C255" s="1"/>
      <c r="D255" s="1"/>
    </row>
    <row r="256" ht="13.5" customHeight="1">
      <c r="A256" s="1"/>
      <c r="B256" s="1"/>
      <c r="C256" s="1"/>
      <c r="D256" s="1"/>
    </row>
    <row r="257" ht="13.5" customHeight="1">
      <c r="A257" s="1"/>
      <c r="B257" s="1"/>
      <c r="C257" s="1"/>
      <c r="D257" s="1"/>
    </row>
    <row r="258" ht="13.5" customHeight="1">
      <c r="A258" s="1"/>
      <c r="B258" s="1"/>
      <c r="C258" s="1"/>
      <c r="D258" s="1"/>
    </row>
    <row r="259" ht="13.5" customHeight="1">
      <c r="A259" s="1"/>
      <c r="B259" s="1"/>
      <c r="C259" s="1"/>
      <c r="D259" s="1"/>
    </row>
    <row r="260" ht="13.5" customHeight="1">
      <c r="A260" s="1"/>
      <c r="B260" s="1"/>
      <c r="C260" s="1"/>
      <c r="D260" s="1"/>
    </row>
    <row r="261" ht="13.5" customHeight="1">
      <c r="A261" s="1"/>
      <c r="B261" s="1"/>
      <c r="C261" s="1"/>
      <c r="D261" s="1"/>
    </row>
    <row r="262" ht="13.5" customHeight="1">
      <c r="A262" s="1"/>
      <c r="B262" s="1"/>
      <c r="C262" s="1"/>
      <c r="D262" s="1"/>
    </row>
    <row r="263" ht="13.5" customHeight="1">
      <c r="A263" s="1"/>
      <c r="B263" s="1"/>
      <c r="C263" s="1"/>
      <c r="D263" s="1"/>
    </row>
    <row r="264" ht="13.5" customHeight="1">
      <c r="A264" s="1"/>
      <c r="B264" s="1"/>
      <c r="C264" s="1"/>
      <c r="D264" s="1"/>
    </row>
    <row r="265" ht="13.5" customHeight="1">
      <c r="A265" s="1"/>
      <c r="B265" s="1"/>
      <c r="C265" s="1"/>
      <c r="D265" s="1"/>
    </row>
    <row r="266" ht="13.5" customHeight="1">
      <c r="A266" s="1"/>
      <c r="B266" s="1"/>
      <c r="C266" s="1"/>
      <c r="D266" s="1"/>
    </row>
    <row r="267" ht="13.5" customHeight="1">
      <c r="A267" s="1"/>
      <c r="B267" s="1"/>
      <c r="C267" s="1"/>
      <c r="D267" s="1"/>
    </row>
    <row r="268" ht="13.5" customHeight="1">
      <c r="A268" s="1"/>
      <c r="B268" s="1"/>
      <c r="C268" s="1"/>
      <c r="D268" s="1"/>
    </row>
    <row r="269" ht="13.5" customHeight="1">
      <c r="A269" s="1"/>
      <c r="B269" s="1"/>
      <c r="C269" s="1"/>
      <c r="D269" s="1"/>
    </row>
    <row r="270" ht="13.5" customHeight="1">
      <c r="A270" s="1"/>
      <c r="B270" s="1"/>
      <c r="C270" s="1"/>
      <c r="D270" s="1"/>
    </row>
    <row r="271" ht="13.5" customHeight="1">
      <c r="A271" s="1"/>
      <c r="B271" s="1"/>
      <c r="C271" s="1"/>
      <c r="D271" s="1"/>
    </row>
    <row r="272" ht="13.5" customHeight="1">
      <c r="A272" s="1"/>
      <c r="B272" s="1"/>
      <c r="C272" s="1"/>
      <c r="D272" s="1"/>
    </row>
    <row r="273" ht="13.5" customHeight="1">
      <c r="A273" s="1"/>
      <c r="B273" s="1"/>
      <c r="C273" s="1"/>
      <c r="D273" s="1"/>
    </row>
    <row r="274" ht="13.5" customHeight="1">
      <c r="A274" s="1"/>
      <c r="B274" s="1"/>
      <c r="C274" s="1"/>
      <c r="D274" s="1"/>
    </row>
    <row r="275" ht="13.5" customHeight="1">
      <c r="A275" s="1"/>
      <c r="B275" s="1"/>
      <c r="C275" s="1"/>
      <c r="D275" s="1"/>
    </row>
    <row r="276" ht="13.5" customHeight="1">
      <c r="A276" s="1"/>
      <c r="B276" s="1"/>
      <c r="C276" s="1"/>
      <c r="D276" s="1"/>
    </row>
    <row r="277" ht="13.5" customHeight="1">
      <c r="A277" s="1"/>
      <c r="B277" s="1"/>
      <c r="C277" s="1"/>
      <c r="D277" s="1"/>
    </row>
    <row r="278" ht="13.5" customHeight="1">
      <c r="A278" s="1"/>
      <c r="B278" s="1"/>
      <c r="C278" s="1"/>
      <c r="D278" s="1"/>
    </row>
    <row r="279" ht="13.5" customHeight="1">
      <c r="A279" s="1"/>
      <c r="B279" s="1"/>
      <c r="C279" s="1"/>
      <c r="D279" s="1"/>
    </row>
    <row r="280" ht="13.5" customHeight="1">
      <c r="A280" s="1"/>
      <c r="B280" s="1"/>
      <c r="C280" s="1"/>
      <c r="D280" s="1"/>
    </row>
    <row r="281" ht="13.5" customHeight="1">
      <c r="A281" s="1"/>
      <c r="B281" s="1"/>
      <c r="C281" s="1"/>
      <c r="D281" s="1"/>
    </row>
    <row r="282" ht="13.5" customHeight="1">
      <c r="A282" s="1"/>
      <c r="B282" s="1"/>
      <c r="C282" s="1"/>
      <c r="D282" s="1"/>
    </row>
    <row r="283" ht="13.5" customHeight="1">
      <c r="A283" s="1"/>
      <c r="B283" s="1"/>
      <c r="C283" s="1"/>
      <c r="D283" s="1"/>
    </row>
    <row r="284" ht="13.5" customHeight="1">
      <c r="A284" s="1"/>
      <c r="B284" s="1"/>
      <c r="C284" s="1"/>
      <c r="D284" s="1"/>
    </row>
    <row r="285" ht="13.5" customHeight="1">
      <c r="A285" s="1"/>
      <c r="B285" s="1"/>
      <c r="C285" s="1"/>
      <c r="D285" s="1"/>
    </row>
    <row r="286" ht="13.5" customHeight="1">
      <c r="A286" s="1"/>
      <c r="B286" s="1"/>
      <c r="C286" s="1"/>
      <c r="D286" s="1"/>
    </row>
    <row r="287" ht="13.5" customHeight="1">
      <c r="A287" s="1"/>
      <c r="B287" s="1"/>
      <c r="C287" s="1"/>
      <c r="D287" s="1"/>
    </row>
    <row r="288" ht="13.5" customHeight="1">
      <c r="A288" s="1"/>
      <c r="B288" s="1"/>
      <c r="C288" s="1"/>
      <c r="D288" s="1"/>
    </row>
    <row r="289" ht="13.5" customHeight="1">
      <c r="A289" s="1"/>
      <c r="B289" s="1"/>
      <c r="C289" s="1"/>
      <c r="D289" s="1"/>
    </row>
    <row r="290" ht="13.5" customHeight="1">
      <c r="A290" s="1"/>
      <c r="B290" s="1"/>
      <c r="C290" s="1"/>
      <c r="D290" s="1"/>
    </row>
    <row r="291" ht="13.5" customHeight="1">
      <c r="A291" s="1"/>
      <c r="B291" s="1"/>
      <c r="C291" s="1"/>
      <c r="D291" s="1"/>
    </row>
    <row r="292" ht="13.5" customHeight="1">
      <c r="A292" s="1"/>
      <c r="B292" s="1"/>
      <c r="C292" s="1"/>
      <c r="D292" s="1"/>
    </row>
    <row r="293" ht="13.5" customHeight="1">
      <c r="A293" s="1"/>
      <c r="B293" s="1"/>
      <c r="C293" s="1"/>
      <c r="D293" s="1"/>
    </row>
    <row r="294" ht="13.5" customHeight="1">
      <c r="A294" s="1"/>
      <c r="B294" s="1"/>
      <c r="C294" s="1"/>
      <c r="D294" s="1"/>
    </row>
    <row r="295" ht="13.5" customHeight="1">
      <c r="A295" s="1"/>
      <c r="B295" s="1"/>
      <c r="C295" s="1"/>
      <c r="D295" s="1"/>
    </row>
    <row r="296" ht="13.5" customHeight="1">
      <c r="A296" s="1"/>
      <c r="B296" s="1"/>
      <c r="C296" s="1"/>
      <c r="D296" s="1"/>
    </row>
    <row r="297" ht="13.5" customHeight="1">
      <c r="A297" s="1"/>
      <c r="B297" s="1"/>
      <c r="C297" s="1"/>
      <c r="D297" s="1"/>
    </row>
    <row r="298" ht="13.5" customHeight="1">
      <c r="A298" s="1"/>
      <c r="B298" s="1"/>
      <c r="C298" s="1"/>
      <c r="D298" s="1"/>
    </row>
    <row r="299" ht="13.5" customHeight="1">
      <c r="A299" s="1"/>
      <c r="B299" s="1"/>
      <c r="C299" s="1"/>
      <c r="D299" s="1"/>
    </row>
    <row r="300" ht="13.5" customHeight="1">
      <c r="A300" s="1"/>
      <c r="B300" s="1"/>
      <c r="C300" s="1"/>
      <c r="D300" s="1"/>
    </row>
    <row r="301" ht="13.5" customHeight="1">
      <c r="A301" s="1"/>
      <c r="B301" s="1"/>
      <c r="C301" s="1"/>
      <c r="D301" s="1"/>
    </row>
    <row r="302" ht="13.5" customHeight="1">
      <c r="A302" s="1"/>
      <c r="B302" s="1"/>
      <c r="C302" s="1"/>
      <c r="D302" s="1"/>
    </row>
    <row r="303" ht="13.5" customHeight="1">
      <c r="A303" s="1"/>
      <c r="B303" s="1"/>
      <c r="C303" s="1"/>
      <c r="D303" s="1"/>
    </row>
    <row r="304" ht="13.5" customHeight="1">
      <c r="A304" s="1"/>
      <c r="B304" s="1"/>
      <c r="C304" s="1"/>
      <c r="D304" s="1"/>
    </row>
    <row r="305" ht="13.5" customHeight="1">
      <c r="A305" s="1"/>
      <c r="B305" s="1"/>
      <c r="C305" s="1"/>
      <c r="D305" s="1"/>
    </row>
    <row r="306" ht="13.5" customHeight="1">
      <c r="A306" s="1"/>
      <c r="B306" s="1"/>
      <c r="C306" s="1"/>
      <c r="D306" s="1"/>
    </row>
    <row r="307" ht="13.5" customHeight="1">
      <c r="A307" s="1"/>
      <c r="B307" s="1"/>
      <c r="C307" s="1"/>
      <c r="D307" s="1"/>
    </row>
    <row r="308" ht="13.5" customHeight="1">
      <c r="A308" s="1"/>
      <c r="B308" s="1"/>
      <c r="C308" s="1"/>
      <c r="D308" s="1"/>
    </row>
    <row r="309" ht="13.5" customHeight="1">
      <c r="A309" s="1"/>
      <c r="B309" s="1"/>
      <c r="C309" s="1"/>
      <c r="D309" s="1"/>
    </row>
    <row r="310" ht="13.5" customHeight="1">
      <c r="A310" s="1"/>
      <c r="B310" s="1"/>
      <c r="C310" s="1"/>
      <c r="D310" s="1"/>
    </row>
    <row r="311" ht="13.5" customHeight="1">
      <c r="A311" s="1"/>
      <c r="B311" s="1"/>
      <c r="C311" s="1"/>
      <c r="D311" s="1"/>
    </row>
    <row r="312" ht="13.5" customHeight="1">
      <c r="A312" s="1"/>
      <c r="B312" s="1"/>
      <c r="C312" s="1"/>
      <c r="D312" s="1"/>
    </row>
    <row r="313" ht="13.5" customHeight="1">
      <c r="A313" s="1"/>
      <c r="B313" s="1"/>
      <c r="C313" s="1"/>
      <c r="D313" s="1"/>
    </row>
    <row r="314" ht="13.5" customHeight="1">
      <c r="A314" s="1"/>
      <c r="B314" s="1"/>
      <c r="C314" s="1"/>
      <c r="D314" s="1"/>
    </row>
    <row r="315" ht="13.5" customHeight="1">
      <c r="A315" s="1"/>
      <c r="B315" s="1"/>
      <c r="C315" s="1"/>
      <c r="D315" s="1"/>
    </row>
    <row r="316" ht="13.5" customHeight="1">
      <c r="A316" s="1"/>
      <c r="B316" s="1"/>
      <c r="C316" s="1"/>
      <c r="D316" s="1"/>
    </row>
    <row r="317" ht="13.5" customHeight="1">
      <c r="A317" s="1"/>
      <c r="B317" s="1"/>
      <c r="C317" s="1"/>
      <c r="D317" s="1"/>
    </row>
    <row r="318" ht="13.5" customHeight="1">
      <c r="A318" s="1"/>
      <c r="B318" s="1"/>
      <c r="C318" s="1"/>
      <c r="D318" s="1"/>
    </row>
    <row r="319" ht="13.5" customHeight="1">
      <c r="A319" s="1"/>
      <c r="B319" s="1"/>
      <c r="C319" s="1"/>
      <c r="D319" s="1"/>
    </row>
    <row r="320" ht="13.5" customHeight="1">
      <c r="A320" s="1"/>
      <c r="B320" s="1"/>
      <c r="C320" s="1"/>
      <c r="D320" s="1"/>
    </row>
    <row r="321" ht="13.5" customHeight="1">
      <c r="A321" s="1"/>
      <c r="B321" s="1"/>
      <c r="C321" s="1"/>
      <c r="D321" s="1"/>
    </row>
    <row r="322" ht="13.5" customHeight="1">
      <c r="A322" s="1"/>
      <c r="B322" s="1"/>
      <c r="C322" s="1"/>
      <c r="D322" s="1"/>
    </row>
    <row r="323" ht="13.5" customHeight="1">
      <c r="A323" s="1"/>
      <c r="B323" s="1"/>
      <c r="C323" s="1"/>
      <c r="D323" s="1"/>
    </row>
    <row r="324" ht="13.5" customHeight="1">
      <c r="A324" s="1"/>
      <c r="B324" s="1"/>
      <c r="C324" s="1"/>
      <c r="D324" s="1"/>
    </row>
    <row r="325" ht="13.5" customHeight="1">
      <c r="A325" s="1"/>
      <c r="B325" s="1"/>
      <c r="C325" s="1"/>
      <c r="D325" s="1"/>
    </row>
    <row r="326" ht="13.5" customHeight="1">
      <c r="A326" s="1"/>
      <c r="B326" s="1"/>
      <c r="C326" s="1"/>
      <c r="D326" s="1"/>
    </row>
    <row r="327" ht="13.5" customHeight="1">
      <c r="A327" s="1"/>
      <c r="B327" s="1"/>
      <c r="C327" s="1"/>
      <c r="D327" s="1"/>
    </row>
    <row r="328" ht="13.5" customHeight="1">
      <c r="A328" s="1"/>
      <c r="B328" s="1"/>
      <c r="C328" s="1"/>
      <c r="D328" s="1"/>
    </row>
    <row r="329" ht="13.5" customHeight="1">
      <c r="A329" s="1"/>
      <c r="B329" s="1"/>
      <c r="C329" s="1"/>
      <c r="D329" s="1"/>
    </row>
    <row r="330" ht="13.5" customHeight="1">
      <c r="A330" s="1"/>
      <c r="B330" s="1"/>
      <c r="C330" s="1"/>
      <c r="D330" s="1"/>
    </row>
    <row r="331" ht="13.5" customHeight="1">
      <c r="A331" s="1"/>
      <c r="B331" s="1"/>
      <c r="C331" s="1"/>
      <c r="D331" s="1"/>
    </row>
    <row r="332" ht="13.5" customHeight="1">
      <c r="A332" s="1"/>
      <c r="B332" s="1"/>
      <c r="C332" s="1"/>
      <c r="D332" s="1"/>
    </row>
    <row r="333" ht="13.5" customHeight="1">
      <c r="A333" s="1"/>
      <c r="B333" s="1"/>
      <c r="C333" s="1"/>
      <c r="D333" s="1"/>
    </row>
    <row r="334" ht="13.5" customHeight="1">
      <c r="A334" s="1"/>
      <c r="B334" s="1"/>
      <c r="C334" s="1"/>
      <c r="D334" s="1"/>
    </row>
    <row r="335" ht="13.5" customHeight="1">
      <c r="A335" s="1"/>
      <c r="B335" s="1"/>
      <c r="C335" s="1"/>
      <c r="D335" s="1"/>
    </row>
    <row r="336" ht="13.5" customHeight="1">
      <c r="A336" s="1"/>
      <c r="B336" s="1"/>
      <c r="C336" s="1"/>
      <c r="D336" s="1"/>
    </row>
    <row r="337" ht="13.5" customHeight="1">
      <c r="A337" s="1"/>
      <c r="B337" s="1"/>
      <c r="C337" s="1"/>
      <c r="D337" s="1"/>
    </row>
    <row r="338" ht="13.5" customHeight="1">
      <c r="A338" s="1"/>
      <c r="B338" s="1"/>
      <c r="C338" s="1"/>
      <c r="D338" s="1"/>
    </row>
    <row r="339" ht="13.5" customHeight="1">
      <c r="A339" s="1"/>
      <c r="B339" s="1"/>
      <c r="C339" s="1"/>
      <c r="D339" s="1"/>
    </row>
    <row r="340" ht="13.5" customHeight="1">
      <c r="A340" s="1"/>
      <c r="B340" s="1"/>
      <c r="C340" s="1"/>
      <c r="D340" s="1"/>
    </row>
    <row r="341" ht="13.5" customHeight="1">
      <c r="A341" s="1"/>
      <c r="B341" s="1"/>
      <c r="C341" s="1"/>
      <c r="D341" s="1"/>
    </row>
    <row r="342" ht="13.5" customHeight="1">
      <c r="A342" s="1"/>
      <c r="B342" s="1"/>
      <c r="C342" s="1"/>
      <c r="D342" s="1"/>
    </row>
    <row r="343" ht="13.5" customHeight="1">
      <c r="A343" s="1"/>
      <c r="B343" s="1"/>
      <c r="C343" s="1"/>
      <c r="D343" s="1"/>
    </row>
    <row r="344" ht="13.5" customHeight="1">
      <c r="A344" s="1"/>
      <c r="B344" s="1"/>
      <c r="C344" s="1"/>
      <c r="D344" s="1"/>
    </row>
    <row r="345" ht="13.5" customHeight="1">
      <c r="A345" s="1"/>
      <c r="B345" s="1"/>
      <c r="C345" s="1"/>
      <c r="D345" s="1"/>
    </row>
    <row r="346" ht="13.5" customHeight="1">
      <c r="A346" s="1"/>
      <c r="B346" s="1"/>
      <c r="C346" s="1"/>
      <c r="D346" s="1"/>
    </row>
    <row r="347" ht="13.5" customHeight="1">
      <c r="A347" s="1"/>
      <c r="B347" s="1"/>
      <c r="C347" s="1"/>
      <c r="D347" s="1"/>
    </row>
    <row r="348" ht="13.5" customHeight="1">
      <c r="A348" s="1"/>
      <c r="B348" s="1"/>
      <c r="C348" s="1"/>
      <c r="D348" s="1"/>
    </row>
    <row r="349" ht="13.5" customHeight="1">
      <c r="A349" s="1"/>
      <c r="B349" s="1"/>
      <c r="C349" s="1"/>
      <c r="D349" s="1"/>
    </row>
    <row r="350" ht="13.5" customHeight="1">
      <c r="A350" s="1"/>
      <c r="B350" s="1"/>
      <c r="C350" s="1"/>
      <c r="D350" s="1"/>
    </row>
    <row r="351" ht="13.5" customHeight="1">
      <c r="A351" s="1"/>
      <c r="B351" s="1"/>
      <c r="C351" s="1"/>
      <c r="D351" s="1"/>
    </row>
    <row r="352" ht="13.5" customHeight="1">
      <c r="A352" s="1"/>
      <c r="B352" s="1"/>
      <c r="C352" s="1"/>
      <c r="D352" s="1"/>
    </row>
    <row r="353" ht="13.5" customHeight="1">
      <c r="A353" s="1"/>
      <c r="B353" s="1"/>
      <c r="C353" s="1"/>
      <c r="D353" s="1"/>
    </row>
    <row r="354" ht="13.5" customHeight="1">
      <c r="A354" s="1"/>
      <c r="B354" s="1"/>
      <c r="C354" s="1"/>
      <c r="D354" s="1"/>
    </row>
    <row r="355" ht="13.5" customHeight="1">
      <c r="A355" s="1"/>
      <c r="B355" s="1"/>
      <c r="C355" s="1"/>
      <c r="D355" s="1"/>
    </row>
    <row r="356" ht="13.5" customHeight="1">
      <c r="A356" s="1"/>
      <c r="B356" s="1"/>
      <c r="C356" s="1"/>
      <c r="D356" s="1"/>
    </row>
    <row r="357" ht="13.5" customHeight="1">
      <c r="A357" s="1"/>
      <c r="B357" s="1"/>
      <c r="C357" s="1"/>
      <c r="D357" s="1"/>
    </row>
    <row r="358" ht="13.5" customHeight="1">
      <c r="A358" s="1"/>
      <c r="B358" s="1"/>
      <c r="C358" s="1"/>
      <c r="D358" s="1"/>
    </row>
    <row r="359" ht="13.5" customHeight="1">
      <c r="A359" s="1"/>
      <c r="B359" s="1"/>
      <c r="C359" s="1"/>
      <c r="D359" s="1"/>
    </row>
    <row r="360" ht="13.5" customHeight="1">
      <c r="A360" s="1"/>
      <c r="B360" s="1"/>
      <c r="C360" s="1"/>
      <c r="D360" s="1"/>
    </row>
    <row r="361" ht="13.5" customHeight="1">
      <c r="A361" s="1"/>
      <c r="B361" s="1"/>
      <c r="C361" s="1"/>
      <c r="D361" s="1"/>
    </row>
    <row r="362" ht="13.5" customHeight="1">
      <c r="A362" s="1"/>
      <c r="B362" s="1"/>
      <c r="C362" s="1"/>
      <c r="D362" s="1"/>
    </row>
    <row r="363" ht="13.5" customHeight="1">
      <c r="A363" s="1"/>
      <c r="B363" s="1"/>
      <c r="C363" s="1"/>
      <c r="D363" s="1"/>
    </row>
    <row r="364" ht="13.5" customHeight="1">
      <c r="A364" s="1"/>
      <c r="B364" s="1"/>
      <c r="C364" s="1"/>
      <c r="D364" s="1"/>
    </row>
    <row r="365" ht="13.5" customHeight="1">
      <c r="A365" s="1"/>
      <c r="B365" s="1"/>
      <c r="C365" s="1"/>
      <c r="D365" s="1"/>
    </row>
    <row r="366" ht="13.5" customHeight="1">
      <c r="A366" s="1"/>
      <c r="B366" s="1"/>
      <c r="C366" s="1"/>
      <c r="D366" s="1"/>
    </row>
    <row r="367" ht="13.5" customHeight="1">
      <c r="A367" s="1"/>
      <c r="B367" s="1"/>
      <c r="C367" s="1"/>
      <c r="D367" s="1"/>
    </row>
    <row r="368" ht="13.5" customHeight="1">
      <c r="A368" s="1"/>
      <c r="B368" s="1"/>
      <c r="C368" s="1"/>
      <c r="D368" s="1"/>
    </row>
    <row r="369" ht="13.5" customHeight="1">
      <c r="A369" s="1"/>
      <c r="B369" s="1"/>
      <c r="C369" s="1"/>
      <c r="D369" s="1"/>
    </row>
    <row r="370" ht="13.5" customHeight="1">
      <c r="A370" s="1"/>
      <c r="B370" s="1"/>
      <c r="C370" s="1"/>
      <c r="D370" s="1"/>
    </row>
    <row r="371" ht="13.5" customHeight="1">
      <c r="A371" s="1"/>
      <c r="B371" s="1"/>
      <c r="C371" s="1"/>
      <c r="D371" s="1"/>
    </row>
    <row r="372" ht="13.5" customHeight="1">
      <c r="A372" s="1"/>
      <c r="B372" s="1"/>
      <c r="C372" s="1"/>
      <c r="D372" s="1"/>
    </row>
    <row r="373" ht="13.5" customHeight="1">
      <c r="A373" s="1"/>
      <c r="B373" s="1"/>
      <c r="C373" s="1"/>
      <c r="D373" s="1"/>
    </row>
    <row r="374" ht="13.5" customHeight="1">
      <c r="A374" s="1"/>
      <c r="B374" s="1"/>
      <c r="C374" s="1"/>
      <c r="D374" s="1"/>
    </row>
    <row r="375" ht="13.5" customHeight="1">
      <c r="A375" s="1"/>
      <c r="B375" s="1"/>
      <c r="C375" s="1"/>
      <c r="D375" s="1"/>
    </row>
    <row r="376" ht="13.5" customHeight="1">
      <c r="A376" s="1"/>
      <c r="B376" s="1"/>
      <c r="C376" s="1"/>
      <c r="D376" s="1"/>
    </row>
    <row r="377" ht="13.5" customHeight="1">
      <c r="A377" s="1"/>
      <c r="B377" s="1"/>
      <c r="C377" s="1"/>
      <c r="D377" s="1"/>
    </row>
    <row r="378" ht="13.5" customHeight="1">
      <c r="A378" s="1"/>
      <c r="B378" s="1"/>
      <c r="C378" s="1"/>
      <c r="D378" s="1"/>
    </row>
    <row r="379" ht="13.5" customHeight="1">
      <c r="A379" s="1"/>
      <c r="B379" s="1"/>
      <c r="C379" s="1"/>
      <c r="D379" s="1"/>
    </row>
    <row r="380" ht="13.5" customHeight="1">
      <c r="A380" s="1"/>
      <c r="B380" s="1"/>
      <c r="C380" s="1"/>
      <c r="D380" s="1"/>
    </row>
    <row r="381" ht="13.5" customHeight="1">
      <c r="A381" s="1"/>
      <c r="B381" s="1"/>
      <c r="C381" s="1"/>
      <c r="D381" s="1"/>
    </row>
    <row r="382" ht="13.5" customHeight="1">
      <c r="A382" s="1"/>
      <c r="B382" s="1"/>
      <c r="C382" s="1"/>
      <c r="D382" s="1"/>
    </row>
    <row r="383" ht="13.5" customHeight="1">
      <c r="A383" s="1"/>
      <c r="B383" s="1"/>
      <c r="C383" s="1"/>
      <c r="D383" s="1"/>
    </row>
    <row r="384" ht="13.5" customHeight="1">
      <c r="A384" s="1"/>
      <c r="B384" s="1"/>
      <c r="C384" s="1"/>
      <c r="D384" s="1"/>
    </row>
    <row r="385" ht="13.5" customHeight="1">
      <c r="A385" s="1"/>
      <c r="B385" s="1"/>
      <c r="C385" s="1"/>
      <c r="D385" s="1"/>
    </row>
    <row r="386" ht="13.5" customHeight="1">
      <c r="A386" s="1"/>
      <c r="B386" s="1"/>
      <c r="C386" s="1"/>
      <c r="D386" s="1"/>
    </row>
    <row r="387" ht="13.5" customHeight="1">
      <c r="A387" s="1"/>
      <c r="B387" s="1"/>
      <c r="C387" s="1"/>
      <c r="D387" s="1"/>
    </row>
    <row r="388" ht="13.5" customHeight="1">
      <c r="A388" s="1"/>
      <c r="B388" s="1"/>
      <c r="C388" s="1"/>
      <c r="D388" s="1"/>
    </row>
    <row r="389" ht="13.5" customHeight="1">
      <c r="A389" s="1"/>
      <c r="B389" s="1"/>
      <c r="C389" s="1"/>
      <c r="D389" s="1"/>
    </row>
    <row r="390" ht="13.5" customHeight="1">
      <c r="A390" s="1"/>
      <c r="B390" s="1"/>
      <c r="C390" s="1"/>
      <c r="D390" s="1"/>
    </row>
    <row r="391" ht="13.5" customHeight="1">
      <c r="A391" s="1"/>
      <c r="B391" s="1"/>
      <c r="C391" s="1"/>
      <c r="D391" s="1"/>
    </row>
    <row r="392" ht="13.5" customHeight="1">
      <c r="A392" s="1"/>
      <c r="B392" s="1"/>
      <c r="C392" s="1"/>
      <c r="D392" s="1"/>
    </row>
    <row r="393" ht="13.5" customHeight="1">
      <c r="A393" s="1"/>
      <c r="B393" s="1"/>
      <c r="C393" s="1"/>
      <c r="D393" s="1"/>
    </row>
    <row r="394" ht="13.5" customHeight="1">
      <c r="A394" s="1"/>
      <c r="B394" s="1"/>
      <c r="C394" s="1"/>
      <c r="D394" s="1"/>
    </row>
    <row r="395" ht="13.5" customHeight="1">
      <c r="A395" s="1"/>
      <c r="B395" s="1"/>
      <c r="C395" s="1"/>
      <c r="D395" s="1"/>
    </row>
    <row r="396" ht="13.5" customHeight="1">
      <c r="A396" s="1"/>
      <c r="B396" s="1"/>
      <c r="C396" s="1"/>
      <c r="D396" s="1"/>
    </row>
    <row r="397" ht="13.5" customHeight="1">
      <c r="A397" s="1"/>
      <c r="B397" s="1"/>
      <c r="C397" s="1"/>
      <c r="D397" s="1"/>
    </row>
    <row r="398" ht="13.5" customHeight="1">
      <c r="A398" s="1"/>
      <c r="B398" s="1"/>
      <c r="C398" s="1"/>
      <c r="D398" s="1"/>
    </row>
    <row r="399" ht="13.5" customHeight="1">
      <c r="A399" s="1"/>
      <c r="B399" s="1"/>
      <c r="C399" s="1"/>
      <c r="D399" s="1"/>
    </row>
    <row r="400" ht="13.5" customHeight="1">
      <c r="A400" s="1"/>
      <c r="B400" s="1"/>
      <c r="C400" s="1"/>
      <c r="D400" s="1"/>
    </row>
    <row r="401" ht="13.5" customHeight="1">
      <c r="A401" s="1"/>
      <c r="B401" s="1"/>
      <c r="C401" s="1"/>
      <c r="D401" s="1"/>
    </row>
    <row r="402" ht="13.5" customHeight="1">
      <c r="A402" s="1"/>
      <c r="B402" s="1"/>
      <c r="C402" s="1"/>
      <c r="D402" s="1"/>
    </row>
    <row r="403" ht="13.5" customHeight="1">
      <c r="A403" s="1"/>
      <c r="B403" s="1"/>
      <c r="C403" s="1"/>
      <c r="D403" s="1"/>
    </row>
    <row r="404" ht="13.5" customHeight="1">
      <c r="A404" s="1"/>
      <c r="B404" s="1"/>
      <c r="C404" s="1"/>
      <c r="D404" s="1"/>
    </row>
    <row r="405" ht="13.5" customHeight="1">
      <c r="A405" s="1"/>
      <c r="B405" s="1"/>
      <c r="C405" s="1"/>
      <c r="D405" s="1"/>
    </row>
    <row r="406" ht="13.5" customHeight="1">
      <c r="A406" s="1"/>
      <c r="B406" s="1"/>
      <c r="C406" s="1"/>
      <c r="D406" s="1"/>
    </row>
    <row r="407" ht="13.5" customHeight="1">
      <c r="A407" s="1"/>
      <c r="B407" s="1"/>
      <c r="C407" s="1"/>
      <c r="D407" s="1"/>
    </row>
    <row r="408" ht="13.5" customHeight="1">
      <c r="A408" s="1"/>
      <c r="B408" s="1"/>
      <c r="C408" s="1"/>
      <c r="D408" s="1"/>
    </row>
    <row r="409" ht="13.5" customHeight="1">
      <c r="A409" s="1"/>
      <c r="B409" s="1"/>
      <c r="C409" s="1"/>
      <c r="D409" s="1"/>
    </row>
    <row r="410" ht="13.5" customHeight="1">
      <c r="A410" s="1"/>
      <c r="B410" s="1"/>
      <c r="C410" s="1"/>
      <c r="D410" s="1"/>
    </row>
    <row r="411" ht="13.5" customHeight="1">
      <c r="A411" s="1"/>
      <c r="B411" s="1"/>
      <c r="C411" s="1"/>
      <c r="D411" s="1"/>
    </row>
    <row r="412" ht="13.5" customHeight="1">
      <c r="A412" s="1"/>
      <c r="B412" s="1"/>
      <c r="C412" s="1"/>
      <c r="D412" s="1"/>
    </row>
    <row r="413" ht="13.5" customHeight="1">
      <c r="A413" s="1"/>
      <c r="B413" s="1"/>
      <c r="C413" s="1"/>
      <c r="D413" s="1"/>
    </row>
    <row r="414" ht="13.5" customHeight="1">
      <c r="A414" s="1"/>
      <c r="B414" s="1"/>
      <c r="C414" s="1"/>
      <c r="D414" s="1"/>
    </row>
    <row r="415" ht="13.5" customHeight="1">
      <c r="A415" s="1"/>
      <c r="B415" s="1"/>
      <c r="C415" s="1"/>
      <c r="D415" s="1"/>
    </row>
    <row r="416" ht="13.5" customHeight="1">
      <c r="A416" s="1"/>
      <c r="B416" s="1"/>
      <c r="C416" s="1"/>
      <c r="D416" s="1"/>
    </row>
    <row r="417" ht="13.5" customHeight="1">
      <c r="A417" s="1"/>
      <c r="B417" s="1"/>
      <c r="C417" s="1"/>
      <c r="D417" s="1"/>
    </row>
    <row r="418" ht="13.5" customHeight="1">
      <c r="A418" s="1"/>
      <c r="B418" s="1"/>
      <c r="C418" s="1"/>
      <c r="D418" s="1"/>
    </row>
    <row r="419" ht="13.5" customHeight="1">
      <c r="A419" s="1"/>
      <c r="B419" s="1"/>
      <c r="C419" s="1"/>
      <c r="D419" s="1"/>
    </row>
    <row r="420" ht="13.5" customHeight="1">
      <c r="A420" s="1"/>
      <c r="B420" s="1"/>
      <c r="C420" s="1"/>
      <c r="D420" s="1"/>
    </row>
    <row r="421" ht="13.5" customHeight="1">
      <c r="A421" s="1"/>
      <c r="B421" s="1"/>
      <c r="C421" s="1"/>
      <c r="D421" s="1"/>
    </row>
    <row r="422" ht="13.5" customHeight="1">
      <c r="A422" s="1"/>
      <c r="B422" s="1"/>
      <c r="C422" s="1"/>
      <c r="D422" s="1"/>
    </row>
    <row r="423" ht="13.5" customHeight="1">
      <c r="A423" s="1"/>
      <c r="B423" s="1"/>
      <c r="C423" s="1"/>
      <c r="D423" s="1"/>
    </row>
    <row r="424" ht="13.5" customHeight="1">
      <c r="A424" s="1"/>
      <c r="B424" s="1"/>
      <c r="C424" s="1"/>
      <c r="D424" s="1"/>
    </row>
    <row r="425" ht="13.5" customHeight="1">
      <c r="A425" s="1"/>
      <c r="B425" s="1"/>
      <c r="C425" s="1"/>
      <c r="D425" s="1"/>
    </row>
    <row r="426" ht="13.5" customHeight="1">
      <c r="A426" s="1"/>
      <c r="B426" s="1"/>
      <c r="C426" s="1"/>
      <c r="D426" s="1"/>
    </row>
    <row r="427" ht="13.5" customHeight="1">
      <c r="A427" s="1"/>
      <c r="B427" s="1"/>
      <c r="C427" s="1"/>
      <c r="D427" s="1"/>
    </row>
    <row r="428" ht="13.5" customHeight="1">
      <c r="A428" s="1"/>
      <c r="B428" s="1"/>
      <c r="C428" s="1"/>
      <c r="D428" s="1"/>
    </row>
    <row r="429" ht="13.5" customHeight="1">
      <c r="A429" s="1"/>
      <c r="B429" s="1"/>
      <c r="C429" s="1"/>
      <c r="D429" s="1"/>
    </row>
    <row r="430" ht="13.5" customHeight="1">
      <c r="A430" s="1"/>
      <c r="B430" s="1"/>
      <c r="C430" s="1"/>
      <c r="D430" s="1"/>
    </row>
    <row r="431" ht="13.5" customHeight="1">
      <c r="A431" s="1"/>
      <c r="B431" s="1"/>
      <c r="C431" s="1"/>
      <c r="D431" s="1"/>
    </row>
    <row r="432" ht="13.5" customHeight="1">
      <c r="A432" s="1"/>
      <c r="B432" s="1"/>
      <c r="C432" s="1"/>
      <c r="D432" s="1"/>
    </row>
    <row r="433" ht="13.5" customHeight="1">
      <c r="A433" s="1"/>
      <c r="B433" s="1"/>
      <c r="C433" s="1"/>
      <c r="D433" s="1"/>
    </row>
    <row r="434" ht="13.5" customHeight="1">
      <c r="A434" s="1"/>
      <c r="B434" s="1"/>
      <c r="C434" s="1"/>
      <c r="D434" s="1"/>
    </row>
    <row r="435" ht="13.5" customHeight="1">
      <c r="A435" s="1"/>
      <c r="B435" s="1"/>
      <c r="C435" s="1"/>
      <c r="D435" s="1"/>
    </row>
    <row r="436" ht="13.5" customHeight="1">
      <c r="A436" s="1"/>
      <c r="B436" s="1"/>
      <c r="C436" s="1"/>
      <c r="D436" s="1"/>
    </row>
    <row r="437" ht="13.5" customHeight="1">
      <c r="A437" s="1"/>
      <c r="B437" s="1"/>
      <c r="C437" s="1"/>
      <c r="D437" s="1"/>
    </row>
    <row r="438" ht="13.5" customHeight="1">
      <c r="A438" s="1"/>
      <c r="B438" s="1"/>
      <c r="C438" s="1"/>
      <c r="D438" s="1"/>
    </row>
    <row r="439" ht="13.5" customHeight="1">
      <c r="A439" s="1"/>
      <c r="B439" s="1"/>
      <c r="C439" s="1"/>
      <c r="D439" s="1"/>
    </row>
    <row r="440" ht="13.5" customHeight="1">
      <c r="A440" s="1"/>
      <c r="B440" s="1"/>
      <c r="C440" s="1"/>
      <c r="D440" s="1"/>
    </row>
    <row r="441" ht="13.5" customHeight="1">
      <c r="A441" s="1"/>
      <c r="B441" s="1"/>
      <c r="C441" s="1"/>
      <c r="D441" s="1"/>
    </row>
    <row r="442" ht="13.5" customHeight="1">
      <c r="A442" s="1"/>
      <c r="B442" s="1"/>
      <c r="C442" s="1"/>
      <c r="D442" s="1"/>
    </row>
    <row r="443" ht="13.5" customHeight="1">
      <c r="A443" s="1"/>
      <c r="B443" s="1"/>
      <c r="C443" s="1"/>
      <c r="D443" s="1"/>
    </row>
    <row r="444" ht="13.5" customHeight="1">
      <c r="A444" s="1"/>
      <c r="B444" s="1"/>
      <c r="C444" s="1"/>
      <c r="D444" s="1"/>
    </row>
    <row r="445" ht="13.5" customHeight="1">
      <c r="A445" s="1"/>
      <c r="B445" s="1"/>
      <c r="C445" s="1"/>
      <c r="D445" s="1"/>
    </row>
    <row r="446" ht="13.5" customHeight="1">
      <c r="A446" s="1"/>
      <c r="B446" s="1"/>
      <c r="C446" s="1"/>
      <c r="D446" s="1"/>
    </row>
    <row r="447" ht="13.5" customHeight="1">
      <c r="A447" s="1"/>
      <c r="B447" s="1"/>
      <c r="C447" s="1"/>
      <c r="D447" s="1"/>
    </row>
    <row r="448" ht="13.5" customHeight="1">
      <c r="A448" s="1"/>
      <c r="B448" s="1"/>
      <c r="C448" s="1"/>
      <c r="D448" s="1"/>
    </row>
    <row r="449" ht="13.5" customHeight="1">
      <c r="A449" s="1"/>
      <c r="B449" s="1"/>
      <c r="C449" s="1"/>
      <c r="D449" s="1"/>
    </row>
    <row r="450" ht="13.5" customHeight="1">
      <c r="A450" s="1"/>
      <c r="B450" s="1"/>
      <c r="C450" s="1"/>
      <c r="D450" s="1"/>
    </row>
    <row r="451" ht="13.5" customHeight="1">
      <c r="A451" s="1"/>
      <c r="B451" s="1"/>
      <c r="C451" s="1"/>
      <c r="D451" s="1"/>
    </row>
    <row r="452" ht="13.5" customHeight="1">
      <c r="A452" s="1"/>
      <c r="B452" s="1"/>
      <c r="C452" s="1"/>
      <c r="D452" s="1"/>
    </row>
    <row r="453" ht="13.5" customHeight="1">
      <c r="A453" s="1"/>
      <c r="B453" s="1"/>
      <c r="C453" s="1"/>
      <c r="D453" s="1"/>
    </row>
    <row r="454" ht="13.5" customHeight="1">
      <c r="A454" s="1"/>
      <c r="B454" s="1"/>
      <c r="C454" s="1"/>
      <c r="D454" s="1"/>
    </row>
    <row r="455" ht="13.5" customHeight="1">
      <c r="A455" s="1"/>
      <c r="B455" s="1"/>
      <c r="C455" s="1"/>
      <c r="D455" s="1"/>
    </row>
    <row r="456" ht="13.5" customHeight="1">
      <c r="A456" s="1"/>
      <c r="B456" s="1"/>
      <c r="C456" s="1"/>
      <c r="D456" s="1"/>
    </row>
    <row r="457" ht="13.5" customHeight="1">
      <c r="A457" s="1"/>
      <c r="B457" s="1"/>
      <c r="C457" s="1"/>
      <c r="D457" s="1"/>
    </row>
    <row r="458" ht="13.5" customHeight="1">
      <c r="A458" s="1"/>
      <c r="B458" s="1"/>
      <c r="C458" s="1"/>
      <c r="D458" s="1"/>
    </row>
    <row r="459" ht="13.5" customHeight="1">
      <c r="A459" s="1"/>
      <c r="B459" s="1"/>
      <c r="C459" s="1"/>
      <c r="D459" s="1"/>
    </row>
    <row r="460" ht="13.5" customHeight="1">
      <c r="A460" s="1"/>
      <c r="B460" s="1"/>
      <c r="C460" s="1"/>
      <c r="D460" s="1"/>
    </row>
    <row r="461" ht="13.5" customHeight="1">
      <c r="A461" s="1"/>
      <c r="B461" s="1"/>
      <c r="C461" s="1"/>
      <c r="D461" s="1"/>
    </row>
    <row r="462" ht="13.5" customHeight="1">
      <c r="A462" s="1"/>
      <c r="B462" s="1"/>
      <c r="C462" s="1"/>
      <c r="D462" s="1"/>
    </row>
    <row r="463" ht="13.5" customHeight="1">
      <c r="A463" s="1"/>
      <c r="B463" s="1"/>
      <c r="C463" s="1"/>
      <c r="D463" s="1"/>
    </row>
    <row r="464" ht="13.5" customHeight="1">
      <c r="A464" s="1"/>
      <c r="B464" s="1"/>
      <c r="C464" s="1"/>
      <c r="D464" s="1"/>
    </row>
    <row r="465" ht="13.5" customHeight="1">
      <c r="A465" s="1"/>
      <c r="B465" s="1"/>
      <c r="C465" s="1"/>
      <c r="D465" s="1"/>
    </row>
    <row r="466" ht="13.5" customHeight="1">
      <c r="A466" s="1"/>
      <c r="B466" s="1"/>
      <c r="C466" s="1"/>
      <c r="D466" s="1"/>
    </row>
    <row r="467" ht="13.5" customHeight="1">
      <c r="A467" s="1"/>
      <c r="B467" s="1"/>
      <c r="C467" s="1"/>
      <c r="D467" s="1"/>
    </row>
    <row r="468" ht="13.5" customHeight="1">
      <c r="A468" s="1"/>
      <c r="B468" s="1"/>
      <c r="C468" s="1"/>
      <c r="D468" s="1"/>
    </row>
    <row r="469" ht="13.5" customHeight="1">
      <c r="A469" s="1"/>
      <c r="B469" s="1"/>
      <c r="C469" s="1"/>
      <c r="D469" s="1"/>
    </row>
    <row r="470" ht="13.5" customHeight="1">
      <c r="A470" s="1"/>
      <c r="B470" s="1"/>
      <c r="C470" s="1"/>
      <c r="D470" s="1"/>
    </row>
    <row r="471" ht="13.5" customHeight="1">
      <c r="A471" s="1"/>
      <c r="B471" s="1"/>
      <c r="C471" s="1"/>
      <c r="D471" s="1"/>
    </row>
    <row r="472" ht="13.5" customHeight="1">
      <c r="A472" s="1"/>
      <c r="B472" s="1"/>
      <c r="C472" s="1"/>
      <c r="D472" s="1"/>
    </row>
    <row r="473" ht="13.5" customHeight="1">
      <c r="A473" s="1"/>
      <c r="B473" s="1"/>
      <c r="C473" s="1"/>
      <c r="D473" s="1"/>
    </row>
    <row r="474" ht="13.5" customHeight="1">
      <c r="A474" s="1"/>
      <c r="B474" s="1"/>
      <c r="C474" s="1"/>
      <c r="D474" s="1"/>
    </row>
    <row r="475" ht="13.5" customHeight="1">
      <c r="A475" s="1"/>
      <c r="B475" s="1"/>
      <c r="C475" s="1"/>
      <c r="D475" s="1"/>
    </row>
    <row r="476" ht="13.5" customHeight="1">
      <c r="A476" s="1"/>
      <c r="B476" s="1"/>
      <c r="C476" s="1"/>
      <c r="D476" s="1"/>
    </row>
    <row r="477" ht="13.5" customHeight="1">
      <c r="A477" s="1"/>
      <c r="B477" s="1"/>
      <c r="C477" s="1"/>
      <c r="D477" s="1"/>
    </row>
    <row r="478" ht="13.5" customHeight="1">
      <c r="A478" s="1"/>
      <c r="B478" s="1"/>
      <c r="C478" s="1"/>
      <c r="D478" s="1"/>
    </row>
    <row r="479" ht="13.5" customHeight="1">
      <c r="A479" s="1"/>
      <c r="B479" s="1"/>
      <c r="C479" s="1"/>
      <c r="D479" s="1"/>
    </row>
    <row r="480" ht="13.5" customHeight="1">
      <c r="A480" s="1"/>
      <c r="B480" s="1"/>
      <c r="C480" s="1"/>
      <c r="D480" s="1"/>
    </row>
    <row r="481" ht="13.5" customHeight="1">
      <c r="A481" s="1"/>
      <c r="B481" s="1"/>
      <c r="C481" s="1"/>
      <c r="D481" s="1"/>
    </row>
    <row r="482" ht="13.5" customHeight="1">
      <c r="A482" s="1"/>
      <c r="B482" s="1"/>
      <c r="C482" s="1"/>
      <c r="D482" s="1"/>
    </row>
    <row r="483" ht="13.5" customHeight="1">
      <c r="A483" s="1"/>
      <c r="B483" s="1"/>
      <c r="C483" s="1"/>
      <c r="D483" s="1"/>
    </row>
    <row r="484" ht="13.5" customHeight="1">
      <c r="A484" s="1"/>
      <c r="B484" s="1"/>
      <c r="C484" s="1"/>
      <c r="D484" s="1"/>
    </row>
    <row r="485" ht="13.5" customHeight="1">
      <c r="A485" s="1"/>
      <c r="B485" s="1"/>
      <c r="C485" s="1"/>
      <c r="D485" s="1"/>
    </row>
    <row r="486" ht="13.5" customHeight="1">
      <c r="A486" s="1"/>
      <c r="B486" s="1"/>
      <c r="C486" s="1"/>
      <c r="D486" s="1"/>
    </row>
    <row r="487" ht="13.5" customHeight="1">
      <c r="A487" s="1"/>
      <c r="B487" s="1"/>
      <c r="C487" s="1"/>
      <c r="D487" s="1"/>
    </row>
    <row r="488" ht="13.5" customHeight="1">
      <c r="A488" s="1"/>
      <c r="B488" s="1"/>
      <c r="C488" s="1"/>
      <c r="D488" s="1"/>
    </row>
    <row r="489" ht="13.5" customHeight="1">
      <c r="A489" s="1"/>
      <c r="B489" s="1"/>
      <c r="C489" s="1"/>
      <c r="D489" s="1"/>
    </row>
    <row r="490" ht="13.5" customHeight="1">
      <c r="A490" s="1"/>
      <c r="B490" s="1"/>
      <c r="C490" s="1"/>
      <c r="D490" s="1"/>
    </row>
    <row r="491" ht="13.5" customHeight="1">
      <c r="A491" s="1"/>
      <c r="B491" s="1"/>
      <c r="C491" s="1"/>
      <c r="D491" s="1"/>
    </row>
    <row r="492" ht="13.5" customHeight="1">
      <c r="A492" s="1"/>
      <c r="B492" s="1"/>
      <c r="C492" s="1"/>
      <c r="D492" s="1"/>
    </row>
    <row r="493" ht="13.5" customHeight="1">
      <c r="A493" s="1"/>
      <c r="B493" s="1"/>
      <c r="C493" s="1"/>
      <c r="D493" s="1"/>
    </row>
    <row r="494" ht="13.5" customHeight="1">
      <c r="A494" s="1"/>
      <c r="B494" s="1"/>
      <c r="C494" s="1"/>
      <c r="D494" s="1"/>
    </row>
    <row r="495" ht="13.5" customHeight="1">
      <c r="A495" s="1"/>
      <c r="B495" s="1"/>
      <c r="C495" s="1"/>
      <c r="D495" s="1"/>
    </row>
    <row r="496" ht="13.5" customHeight="1">
      <c r="A496" s="1"/>
      <c r="B496" s="1"/>
      <c r="C496" s="1"/>
      <c r="D496" s="1"/>
    </row>
    <row r="497" ht="13.5" customHeight="1">
      <c r="A497" s="1"/>
      <c r="B497" s="1"/>
      <c r="C497" s="1"/>
      <c r="D497" s="1"/>
    </row>
    <row r="498" ht="13.5" customHeight="1">
      <c r="A498" s="1"/>
      <c r="B498" s="1"/>
      <c r="C498" s="1"/>
      <c r="D498" s="1"/>
    </row>
    <row r="499" ht="13.5" customHeight="1">
      <c r="A499" s="1"/>
      <c r="B499" s="1"/>
      <c r="C499" s="1"/>
      <c r="D499" s="1"/>
    </row>
    <row r="500" ht="13.5" customHeight="1">
      <c r="A500" s="1"/>
      <c r="B500" s="1"/>
      <c r="C500" s="1"/>
      <c r="D500" s="1"/>
    </row>
    <row r="501" ht="13.5" customHeight="1">
      <c r="A501" s="1"/>
      <c r="B501" s="1"/>
      <c r="C501" s="1"/>
      <c r="D501" s="1"/>
    </row>
    <row r="502" ht="13.5" customHeight="1">
      <c r="A502" s="1"/>
      <c r="B502" s="1"/>
      <c r="C502" s="1"/>
      <c r="D502" s="1"/>
    </row>
    <row r="503" ht="13.5" customHeight="1">
      <c r="A503" s="1"/>
      <c r="B503" s="1"/>
      <c r="C503" s="1"/>
      <c r="D503" s="1"/>
    </row>
    <row r="504" ht="13.5" customHeight="1">
      <c r="A504" s="1"/>
      <c r="B504" s="1"/>
      <c r="C504" s="1"/>
      <c r="D504" s="1"/>
    </row>
    <row r="505" ht="13.5" customHeight="1">
      <c r="A505" s="1"/>
      <c r="B505" s="1"/>
      <c r="C505" s="1"/>
      <c r="D505" s="1"/>
    </row>
    <row r="506" ht="13.5" customHeight="1">
      <c r="A506" s="1"/>
      <c r="B506" s="1"/>
      <c r="C506" s="1"/>
      <c r="D506" s="1"/>
    </row>
    <row r="507" ht="13.5" customHeight="1">
      <c r="A507" s="1"/>
      <c r="B507" s="1"/>
      <c r="C507" s="1"/>
      <c r="D507" s="1"/>
    </row>
    <row r="508" ht="13.5" customHeight="1">
      <c r="A508" s="1"/>
      <c r="B508" s="1"/>
      <c r="C508" s="1"/>
      <c r="D508" s="1"/>
    </row>
    <row r="509" ht="13.5" customHeight="1">
      <c r="A509" s="1"/>
      <c r="B509" s="1"/>
      <c r="C509" s="1"/>
      <c r="D509" s="1"/>
    </row>
    <row r="510" ht="13.5" customHeight="1">
      <c r="A510" s="1"/>
      <c r="B510" s="1"/>
      <c r="C510" s="1"/>
      <c r="D510" s="1"/>
    </row>
    <row r="511" ht="13.5" customHeight="1">
      <c r="A511" s="1"/>
      <c r="B511" s="1"/>
      <c r="C511" s="1"/>
      <c r="D511" s="1"/>
    </row>
    <row r="512" ht="13.5" customHeight="1">
      <c r="A512" s="1"/>
      <c r="B512" s="1"/>
      <c r="C512" s="1"/>
      <c r="D512" s="1"/>
    </row>
    <row r="513" ht="13.5" customHeight="1">
      <c r="A513" s="1"/>
      <c r="B513" s="1"/>
      <c r="C513" s="1"/>
      <c r="D513" s="1"/>
    </row>
    <row r="514" ht="13.5" customHeight="1">
      <c r="A514" s="1"/>
      <c r="B514" s="1"/>
      <c r="C514" s="1"/>
      <c r="D514" s="1"/>
    </row>
    <row r="515" ht="13.5" customHeight="1">
      <c r="A515" s="1"/>
      <c r="B515" s="1"/>
      <c r="C515" s="1"/>
      <c r="D515" s="1"/>
    </row>
    <row r="516" ht="13.5" customHeight="1">
      <c r="A516" s="1"/>
      <c r="B516" s="1"/>
      <c r="C516" s="1"/>
      <c r="D516" s="1"/>
    </row>
    <row r="517" ht="13.5" customHeight="1">
      <c r="A517" s="1"/>
      <c r="B517" s="1"/>
      <c r="C517" s="1"/>
      <c r="D517" s="1"/>
    </row>
    <row r="518" ht="13.5" customHeight="1">
      <c r="A518" s="1"/>
      <c r="B518" s="1"/>
      <c r="C518" s="1"/>
      <c r="D518" s="1"/>
    </row>
    <row r="519" ht="13.5" customHeight="1">
      <c r="A519" s="1"/>
      <c r="B519" s="1"/>
      <c r="C519" s="1"/>
      <c r="D519" s="1"/>
    </row>
    <row r="520" ht="13.5" customHeight="1">
      <c r="A520" s="1"/>
      <c r="B520" s="1"/>
      <c r="C520" s="1"/>
      <c r="D520" s="1"/>
    </row>
    <row r="521" ht="13.5" customHeight="1">
      <c r="A521" s="1"/>
      <c r="B521" s="1"/>
      <c r="C521" s="1"/>
      <c r="D521" s="1"/>
    </row>
    <row r="522" ht="13.5" customHeight="1">
      <c r="A522" s="1"/>
      <c r="B522" s="1"/>
      <c r="C522" s="1"/>
      <c r="D522" s="1"/>
    </row>
    <row r="523" ht="13.5" customHeight="1">
      <c r="A523" s="1"/>
      <c r="B523" s="1"/>
      <c r="C523" s="1"/>
      <c r="D523" s="1"/>
    </row>
    <row r="524" ht="13.5" customHeight="1">
      <c r="A524" s="1"/>
      <c r="B524" s="1"/>
      <c r="C524" s="1"/>
      <c r="D524" s="1"/>
    </row>
    <row r="525" ht="13.5" customHeight="1">
      <c r="A525" s="1"/>
      <c r="B525" s="1"/>
      <c r="C525" s="1"/>
      <c r="D525" s="1"/>
    </row>
    <row r="526" ht="13.5" customHeight="1">
      <c r="A526" s="1"/>
      <c r="B526" s="1"/>
      <c r="C526" s="1"/>
      <c r="D526" s="1"/>
    </row>
    <row r="527" ht="13.5" customHeight="1">
      <c r="A527" s="1"/>
      <c r="B527" s="1"/>
      <c r="C527" s="1"/>
      <c r="D527" s="1"/>
    </row>
    <row r="528" ht="13.5" customHeight="1">
      <c r="A528" s="1"/>
      <c r="B528" s="1"/>
      <c r="C528" s="1"/>
      <c r="D528" s="1"/>
    </row>
    <row r="529" ht="13.5" customHeight="1">
      <c r="A529" s="1"/>
      <c r="B529" s="1"/>
      <c r="C529" s="1"/>
      <c r="D529" s="1"/>
    </row>
    <row r="530" ht="13.5" customHeight="1">
      <c r="A530" s="1"/>
      <c r="B530" s="1"/>
      <c r="C530" s="1"/>
      <c r="D530" s="1"/>
    </row>
    <row r="531" ht="13.5" customHeight="1">
      <c r="A531" s="1"/>
      <c r="B531" s="1"/>
      <c r="C531" s="1"/>
      <c r="D531" s="1"/>
    </row>
    <row r="532" ht="13.5" customHeight="1">
      <c r="A532" s="1"/>
      <c r="B532" s="1"/>
      <c r="C532" s="1"/>
      <c r="D532" s="1"/>
    </row>
    <row r="533" ht="13.5" customHeight="1">
      <c r="A533" s="1"/>
      <c r="B533" s="1"/>
      <c r="C533" s="1"/>
      <c r="D533" s="1"/>
    </row>
    <row r="534" ht="13.5" customHeight="1">
      <c r="A534" s="1"/>
      <c r="B534" s="1"/>
      <c r="C534" s="1"/>
      <c r="D534" s="1"/>
    </row>
    <row r="535" ht="13.5" customHeight="1">
      <c r="A535" s="1"/>
      <c r="B535" s="1"/>
      <c r="C535" s="1"/>
      <c r="D535" s="1"/>
    </row>
    <row r="536" ht="13.5" customHeight="1">
      <c r="A536" s="1"/>
      <c r="B536" s="1"/>
      <c r="C536" s="1"/>
      <c r="D536" s="1"/>
    </row>
    <row r="537" ht="13.5" customHeight="1">
      <c r="A537" s="1"/>
      <c r="B537" s="1"/>
      <c r="C537" s="1"/>
      <c r="D537" s="1"/>
    </row>
    <row r="538" ht="13.5" customHeight="1">
      <c r="A538" s="1"/>
      <c r="B538" s="1"/>
      <c r="C538" s="1"/>
      <c r="D538" s="1"/>
    </row>
    <row r="539" ht="13.5" customHeight="1">
      <c r="A539" s="1"/>
      <c r="B539" s="1"/>
      <c r="C539" s="1"/>
      <c r="D539" s="1"/>
    </row>
    <row r="540" ht="13.5" customHeight="1">
      <c r="A540" s="1"/>
      <c r="B540" s="1"/>
      <c r="C540" s="1"/>
      <c r="D540" s="1"/>
    </row>
    <row r="541" ht="13.5" customHeight="1">
      <c r="A541" s="1"/>
      <c r="B541" s="1"/>
      <c r="C541" s="1"/>
      <c r="D541" s="1"/>
    </row>
    <row r="542" ht="13.5" customHeight="1">
      <c r="A542" s="1"/>
      <c r="B542" s="1"/>
      <c r="C542" s="1"/>
      <c r="D542" s="1"/>
    </row>
    <row r="543" ht="13.5" customHeight="1">
      <c r="A543" s="1"/>
      <c r="B543" s="1"/>
      <c r="C543" s="1"/>
      <c r="D543" s="1"/>
    </row>
    <row r="544" ht="13.5" customHeight="1">
      <c r="A544" s="1"/>
      <c r="B544" s="1"/>
      <c r="C544" s="1"/>
      <c r="D544" s="1"/>
    </row>
    <row r="545" ht="13.5" customHeight="1">
      <c r="A545" s="1"/>
      <c r="B545" s="1"/>
      <c r="C545" s="1"/>
      <c r="D545" s="1"/>
    </row>
    <row r="546" ht="13.5" customHeight="1">
      <c r="A546" s="1"/>
      <c r="B546" s="1"/>
      <c r="C546" s="1"/>
      <c r="D546" s="1"/>
    </row>
    <row r="547" ht="13.5" customHeight="1">
      <c r="A547" s="1"/>
      <c r="B547" s="1"/>
      <c r="C547" s="1"/>
      <c r="D547" s="1"/>
    </row>
    <row r="548" ht="13.5" customHeight="1">
      <c r="A548" s="1"/>
      <c r="B548" s="1"/>
      <c r="C548" s="1"/>
      <c r="D548" s="1"/>
    </row>
    <row r="549" ht="13.5" customHeight="1">
      <c r="A549" s="1"/>
      <c r="B549" s="1"/>
      <c r="C549" s="1"/>
      <c r="D549" s="1"/>
    </row>
    <row r="550" ht="13.5" customHeight="1">
      <c r="A550" s="1"/>
      <c r="B550" s="1"/>
      <c r="C550" s="1"/>
      <c r="D550" s="1"/>
    </row>
    <row r="551" ht="13.5" customHeight="1">
      <c r="A551" s="1"/>
      <c r="B551" s="1"/>
      <c r="C551" s="1"/>
      <c r="D551" s="1"/>
    </row>
    <row r="552" ht="13.5" customHeight="1">
      <c r="A552" s="1"/>
      <c r="B552" s="1"/>
      <c r="C552" s="1"/>
      <c r="D552" s="1"/>
    </row>
    <row r="553" ht="13.5" customHeight="1">
      <c r="A553" s="1"/>
      <c r="B553" s="1"/>
      <c r="C553" s="1"/>
      <c r="D553" s="1"/>
    </row>
    <row r="554" ht="13.5" customHeight="1">
      <c r="A554" s="1"/>
      <c r="B554" s="1"/>
      <c r="C554" s="1"/>
      <c r="D554" s="1"/>
    </row>
    <row r="555" ht="13.5" customHeight="1">
      <c r="A555" s="1"/>
      <c r="B555" s="1"/>
      <c r="C555" s="1"/>
      <c r="D555" s="1"/>
    </row>
    <row r="556" ht="13.5" customHeight="1">
      <c r="A556" s="1"/>
      <c r="B556" s="1"/>
      <c r="C556" s="1"/>
      <c r="D556" s="1"/>
    </row>
    <row r="557" ht="13.5" customHeight="1">
      <c r="A557" s="1"/>
      <c r="B557" s="1"/>
      <c r="C557" s="1"/>
      <c r="D557" s="1"/>
    </row>
    <row r="558" ht="13.5" customHeight="1">
      <c r="A558" s="1"/>
      <c r="B558" s="1"/>
      <c r="C558" s="1"/>
      <c r="D558" s="1"/>
    </row>
    <row r="559" ht="13.5" customHeight="1">
      <c r="A559" s="1"/>
      <c r="B559" s="1"/>
      <c r="C559" s="1"/>
      <c r="D559" s="1"/>
    </row>
    <row r="560" ht="13.5" customHeight="1">
      <c r="A560" s="1"/>
      <c r="B560" s="1"/>
      <c r="C560" s="1"/>
      <c r="D560" s="1"/>
    </row>
    <row r="561" ht="13.5" customHeight="1">
      <c r="A561" s="1"/>
      <c r="B561" s="1"/>
      <c r="C561" s="1"/>
      <c r="D561" s="1"/>
    </row>
    <row r="562" ht="13.5" customHeight="1">
      <c r="A562" s="1"/>
      <c r="B562" s="1"/>
      <c r="C562" s="1"/>
      <c r="D562" s="1"/>
    </row>
    <row r="563" ht="13.5" customHeight="1">
      <c r="A563" s="1"/>
      <c r="B563" s="1"/>
      <c r="C563" s="1"/>
      <c r="D563" s="1"/>
    </row>
    <row r="564" ht="13.5" customHeight="1">
      <c r="A564" s="1"/>
      <c r="B564" s="1"/>
      <c r="C564" s="1"/>
      <c r="D564" s="1"/>
    </row>
    <row r="565" ht="13.5" customHeight="1">
      <c r="A565" s="1"/>
      <c r="B565" s="1"/>
      <c r="C565" s="1"/>
      <c r="D565" s="1"/>
    </row>
    <row r="566" ht="13.5" customHeight="1">
      <c r="A566" s="1"/>
      <c r="B566" s="1"/>
      <c r="C566" s="1"/>
      <c r="D566" s="1"/>
    </row>
    <row r="567" ht="13.5" customHeight="1">
      <c r="A567" s="1"/>
      <c r="B567" s="1"/>
      <c r="C567" s="1"/>
      <c r="D567" s="1"/>
    </row>
    <row r="568" ht="13.5" customHeight="1">
      <c r="A568" s="1"/>
      <c r="B568" s="1"/>
      <c r="C568" s="1"/>
      <c r="D568" s="1"/>
    </row>
    <row r="569" ht="13.5" customHeight="1">
      <c r="A569" s="1"/>
      <c r="B569" s="1"/>
      <c r="C569" s="1"/>
      <c r="D569" s="1"/>
    </row>
    <row r="570" ht="13.5" customHeight="1">
      <c r="A570" s="1"/>
      <c r="B570" s="1"/>
      <c r="C570" s="1"/>
      <c r="D570" s="1"/>
    </row>
    <row r="571" ht="13.5" customHeight="1">
      <c r="A571" s="1"/>
      <c r="B571" s="1"/>
      <c r="C571" s="1"/>
      <c r="D571" s="1"/>
    </row>
    <row r="572" ht="13.5" customHeight="1">
      <c r="A572" s="1"/>
      <c r="B572" s="1"/>
      <c r="C572" s="1"/>
      <c r="D572" s="1"/>
    </row>
    <row r="573" ht="13.5" customHeight="1">
      <c r="A573" s="1"/>
      <c r="B573" s="1"/>
      <c r="C573" s="1"/>
      <c r="D573" s="1"/>
    </row>
    <row r="574" ht="13.5" customHeight="1">
      <c r="A574" s="1"/>
      <c r="B574" s="1"/>
      <c r="C574" s="1"/>
      <c r="D574" s="1"/>
    </row>
    <row r="575" ht="13.5" customHeight="1">
      <c r="A575" s="1"/>
      <c r="B575" s="1"/>
      <c r="C575" s="1"/>
      <c r="D575" s="1"/>
    </row>
    <row r="576" ht="13.5" customHeight="1">
      <c r="A576" s="1"/>
      <c r="B576" s="1"/>
      <c r="C576" s="1"/>
      <c r="D576" s="1"/>
    </row>
    <row r="577" ht="13.5" customHeight="1">
      <c r="A577" s="1"/>
      <c r="B577" s="1"/>
      <c r="C577" s="1"/>
      <c r="D577" s="1"/>
    </row>
    <row r="578" ht="13.5" customHeight="1">
      <c r="A578" s="1"/>
      <c r="B578" s="1"/>
      <c r="C578" s="1"/>
      <c r="D578" s="1"/>
    </row>
    <row r="579" ht="13.5" customHeight="1">
      <c r="A579" s="1"/>
      <c r="B579" s="1"/>
      <c r="C579" s="1"/>
      <c r="D579" s="1"/>
    </row>
    <row r="580" ht="13.5" customHeight="1">
      <c r="A580" s="1"/>
      <c r="B580" s="1"/>
      <c r="C580" s="1"/>
      <c r="D580" s="1"/>
    </row>
    <row r="581" ht="13.5" customHeight="1">
      <c r="A581" s="1"/>
      <c r="B581" s="1"/>
      <c r="C581" s="1"/>
      <c r="D581" s="1"/>
    </row>
    <row r="582" ht="13.5" customHeight="1">
      <c r="A582" s="1"/>
      <c r="B582" s="1"/>
      <c r="C582" s="1"/>
      <c r="D582" s="1"/>
    </row>
    <row r="583" ht="13.5" customHeight="1">
      <c r="A583" s="1"/>
      <c r="B583" s="1"/>
      <c r="C583" s="1"/>
      <c r="D583" s="1"/>
    </row>
    <row r="584" ht="13.5" customHeight="1">
      <c r="A584" s="1"/>
      <c r="B584" s="1"/>
      <c r="C584" s="1"/>
      <c r="D584" s="1"/>
    </row>
    <row r="585" ht="13.5" customHeight="1">
      <c r="A585" s="1"/>
      <c r="B585" s="1"/>
      <c r="C585" s="1"/>
      <c r="D585" s="1"/>
    </row>
    <row r="586" ht="13.5" customHeight="1">
      <c r="A586" s="1"/>
      <c r="B586" s="1"/>
      <c r="C586" s="1"/>
      <c r="D586" s="1"/>
    </row>
    <row r="587" ht="13.5" customHeight="1">
      <c r="A587" s="1"/>
      <c r="B587" s="1"/>
      <c r="C587" s="1"/>
      <c r="D587" s="1"/>
    </row>
    <row r="588" ht="13.5" customHeight="1">
      <c r="A588" s="1"/>
      <c r="B588" s="1"/>
      <c r="C588" s="1"/>
      <c r="D588" s="1"/>
    </row>
    <row r="589" ht="13.5" customHeight="1">
      <c r="A589" s="1"/>
      <c r="B589" s="1"/>
      <c r="C589" s="1"/>
      <c r="D589" s="1"/>
    </row>
    <row r="590" ht="13.5" customHeight="1">
      <c r="A590" s="1"/>
      <c r="B590" s="1"/>
      <c r="C590" s="1"/>
      <c r="D590" s="1"/>
    </row>
    <row r="591" ht="13.5" customHeight="1">
      <c r="A591" s="1"/>
      <c r="B591" s="1"/>
      <c r="C591" s="1"/>
      <c r="D591" s="1"/>
    </row>
    <row r="592" ht="13.5" customHeight="1">
      <c r="A592" s="1"/>
      <c r="B592" s="1"/>
      <c r="C592" s="1"/>
      <c r="D592" s="1"/>
    </row>
    <row r="593" ht="13.5" customHeight="1">
      <c r="A593" s="1"/>
      <c r="B593" s="1"/>
      <c r="C593" s="1"/>
      <c r="D593" s="1"/>
    </row>
    <row r="594" ht="13.5" customHeight="1">
      <c r="A594" s="1"/>
      <c r="B594" s="1"/>
      <c r="C594" s="1"/>
      <c r="D594" s="1"/>
    </row>
    <row r="595" ht="13.5" customHeight="1">
      <c r="A595" s="1"/>
      <c r="B595" s="1"/>
      <c r="C595" s="1"/>
      <c r="D595" s="1"/>
    </row>
    <row r="596" ht="13.5" customHeight="1">
      <c r="A596" s="1"/>
      <c r="B596" s="1"/>
      <c r="C596" s="1"/>
      <c r="D596" s="1"/>
    </row>
    <row r="597" ht="13.5" customHeight="1">
      <c r="A597" s="1"/>
      <c r="B597" s="1"/>
      <c r="C597" s="1"/>
      <c r="D597" s="1"/>
    </row>
    <row r="598" ht="13.5" customHeight="1">
      <c r="A598" s="1"/>
      <c r="B598" s="1"/>
      <c r="C598" s="1"/>
      <c r="D598" s="1"/>
    </row>
    <row r="599" ht="13.5" customHeight="1">
      <c r="A599" s="1"/>
      <c r="B599" s="1"/>
      <c r="C599" s="1"/>
      <c r="D599" s="1"/>
    </row>
    <row r="600" ht="13.5" customHeight="1">
      <c r="A600" s="1"/>
      <c r="B600" s="1"/>
      <c r="C600" s="1"/>
      <c r="D600" s="1"/>
    </row>
    <row r="601" ht="13.5" customHeight="1">
      <c r="A601" s="1"/>
      <c r="B601" s="1"/>
      <c r="C601" s="1"/>
      <c r="D601" s="1"/>
    </row>
    <row r="602" ht="13.5" customHeight="1">
      <c r="A602" s="1"/>
      <c r="B602" s="1"/>
      <c r="C602" s="1"/>
      <c r="D602" s="1"/>
    </row>
    <row r="603" ht="13.5" customHeight="1">
      <c r="A603" s="1"/>
      <c r="B603" s="1"/>
      <c r="C603" s="1"/>
      <c r="D603" s="1"/>
    </row>
    <row r="604" ht="13.5" customHeight="1">
      <c r="A604" s="1"/>
      <c r="B604" s="1"/>
      <c r="C604" s="1"/>
      <c r="D604" s="1"/>
    </row>
    <row r="605" ht="13.5" customHeight="1">
      <c r="A605" s="1"/>
      <c r="B605" s="1"/>
      <c r="C605" s="1"/>
      <c r="D605" s="1"/>
    </row>
    <row r="606" ht="13.5" customHeight="1">
      <c r="A606" s="1"/>
      <c r="B606" s="1"/>
      <c r="C606" s="1"/>
      <c r="D606" s="1"/>
    </row>
    <row r="607" ht="13.5" customHeight="1">
      <c r="A607" s="1"/>
      <c r="B607" s="1"/>
      <c r="C607" s="1"/>
      <c r="D607" s="1"/>
    </row>
    <row r="608" ht="13.5" customHeight="1">
      <c r="A608" s="1"/>
      <c r="B608" s="1"/>
      <c r="C608" s="1"/>
      <c r="D608" s="1"/>
    </row>
    <row r="609" ht="13.5" customHeight="1">
      <c r="A609" s="1"/>
      <c r="B609" s="1"/>
      <c r="C609" s="1"/>
      <c r="D609" s="1"/>
    </row>
    <row r="610" ht="13.5" customHeight="1">
      <c r="A610" s="1"/>
      <c r="B610" s="1"/>
      <c r="C610" s="1"/>
      <c r="D610" s="1"/>
    </row>
    <row r="611" ht="13.5" customHeight="1">
      <c r="A611" s="1"/>
      <c r="B611" s="1"/>
      <c r="C611" s="1"/>
      <c r="D611" s="1"/>
    </row>
    <row r="612" ht="13.5" customHeight="1">
      <c r="A612" s="1"/>
      <c r="B612" s="1"/>
      <c r="C612" s="1"/>
      <c r="D612" s="1"/>
    </row>
    <row r="613" ht="13.5" customHeight="1">
      <c r="A613" s="1"/>
      <c r="B613" s="1"/>
      <c r="C613" s="1"/>
      <c r="D613" s="1"/>
    </row>
    <row r="614" ht="13.5" customHeight="1">
      <c r="A614" s="1"/>
      <c r="B614" s="1"/>
      <c r="C614" s="1"/>
      <c r="D614" s="1"/>
    </row>
    <row r="615" ht="13.5" customHeight="1">
      <c r="A615" s="1"/>
      <c r="B615" s="1"/>
      <c r="C615" s="1"/>
      <c r="D615" s="1"/>
    </row>
    <row r="616" ht="13.5" customHeight="1">
      <c r="A616" s="1"/>
      <c r="B616" s="1"/>
      <c r="C616" s="1"/>
      <c r="D616" s="1"/>
    </row>
    <row r="617" ht="13.5" customHeight="1">
      <c r="A617" s="1"/>
      <c r="B617" s="1"/>
      <c r="C617" s="1"/>
      <c r="D617" s="1"/>
    </row>
    <row r="618" ht="13.5" customHeight="1">
      <c r="A618" s="1"/>
      <c r="B618" s="1"/>
      <c r="C618" s="1"/>
      <c r="D618" s="1"/>
    </row>
    <row r="619" ht="13.5" customHeight="1">
      <c r="A619" s="1"/>
      <c r="B619" s="1"/>
      <c r="C619" s="1"/>
      <c r="D619" s="1"/>
    </row>
    <row r="620" ht="13.5" customHeight="1">
      <c r="A620" s="1"/>
      <c r="B620" s="1"/>
      <c r="C620" s="1"/>
      <c r="D620" s="1"/>
    </row>
    <row r="621" ht="13.5" customHeight="1">
      <c r="A621" s="1"/>
      <c r="B621" s="1"/>
      <c r="C621" s="1"/>
      <c r="D621" s="1"/>
    </row>
    <row r="622" ht="13.5" customHeight="1">
      <c r="A622" s="1"/>
      <c r="B622" s="1"/>
      <c r="C622" s="1"/>
      <c r="D622" s="1"/>
    </row>
    <row r="623" ht="13.5" customHeight="1">
      <c r="A623" s="1"/>
      <c r="B623" s="1"/>
      <c r="C623" s="1"/>
      <c r="D623" s="1"/>
    </row>
    <row r="624" ht="13.5" customHeight="1">
      <c r="A624" s="1"/>
      <c r="B624" s="1"/>
      <c r="C624" s="1"/>
      <c r="D624" s="1"/>
    </row>
    <row r="625" ht="13.5" customHeight="1">
      <c r="A625" s="1"/>
      <c r="B625" s="1"/>
      <c r="C625" s="1"/>
      <c r="D625" s="1"/>
    </row>
    <row r="626" ht="13.5" customHeight="1">
      <c r="A626" s="1"/>
      <c r="B626" s="1"/>
      <c r="C626" s="1"/>
      <c r="D626" s="1"/>
    </row>
    <row r="627" ht="13.5" customHeight="1">
      <c r="A627" s="1"/>
      <c r="B627" s="1"/>
      <c r="C627" s="1"/>
      <c r="D627" s="1"/>
    </row>
    <row r="628" ht="13.5" customHeight="1">
      <c r="A628" s="1"/>
      <c r="B628" s="1"/>
      <c r="C628" s="1"/>
      <c r="D628" s="1"/>
    </row>
    <row r="629" ht="13.5" customHeight="1">
      <c r="A629" s="1"/>
      <c r="B629" s="1"/>
      <c r="C629" s="1"/>
      <c r="D629" s="1"/>
    </row>
    <row r="630" ht="13.5" customHeight="1">
      <c r="A630" s="1"/>
      <c r="B630" s="1"/>
      <c r="C630" s="1"/>
      <c r="D630" s="1"/>
    </row>
    <row r="631" ht="13.5" customHeight="1">
      <c r="A631" s="1"/>
      <c r="B631" s="1"/>
      <c r="C631" s="1"/>
      <c r="D631" s="1"/>
    </row>
    <row r="632" ht="13.5" customHeight="1">
      <c r="A632" s="1"/>
      <c r="B632" s="1"/>
      <c r="C632" s="1"/>
      <c r="D632" s="1"/>
    </row>
    <row r="633" ht="13.5" customHeight="1">
      <c r="A633" s="1"/>
      <c r="B633" s="1"/>
      <c r="C633" s="1"/>
      <c r="D633" s="1"/>
    </row>
    <row r="634" ht="13.5" customHeight="1">
      <c r="A634" s="1"/>
      <c r="B634" s="1"/>
      <c r="C634" s="1"/>
      <c r="D634" s="1"/>
    </row>
    <row r="635" ht="13.5" customHeight="1">
      <c r="A635" s="1"/>
      <c r="B635" s="1"/>
      <c r="C635" s="1"/>
      <c r="D635" s="1"/>
    </row>
    <row r="636" ht="13.5" customHeight="1">
      <c r="A636" s="1"/>
      <c r="B636" s="1"/>
      <c r="C636" s="1"/>
      <c r="D636" s="1"/>
    </row>
    <row r="637" ht="13.5" customHeight="1">
      <c r="A637" s="1"/>
      <c r="B637" s="1"/>
      <c r="C637" s="1"/>
      <c r="D637" s="1"/>
    </row>
    <row r="638" ht="13.5" customHeight="1">
      <c r="A638" s="1"/>
      <c r="B638" s="1"/>
      <c r="C638" s="1"/>
      <c r="D638" s="1"/>
    </row>
    <row r="639" ht="13.5" customHeight="1">
      <c r="A639" s="1"/>
      <c r="B639" s="1"/>
      <c r="C639" s="1"/>
      <c r="D639" s="1"/>
    </row>
    <row r="640" ht="13.5" customHeight="1">
      <c r="A640" s="1"/>
      <c r="B640" s="1"/>
      <c r="C640" s="1"/>
      <c r="D640" s="1"/>
    </row>
    <row r="641" ht="13.5" customHeight="1">
      <c r="A641" s="1"/>
      <c r="B641" s="1"/>
      <c r="C641" s="1"/>
      <c r="D641" s="1"/>
    </row>
    <row r="642" ht="13.5" customHeight="1">
      <c r="A642" s="1"/>
      <c r="B642" s="1"/>
      <c r="C642" s="1"/>
      <c r="D642" s="1"/>
    </row>
    <row r="643" ht="13.5" customHeight="1">
      <c r="A643" s="1"/>
      <c r="B643" s="1"/>
      <c r="C643" s="1"/>
      <c r="D643" s="1"/>
    </row>
    <row r="644" ht="13.5" customHeight="1">
      <c r="A644" s="1"/>
      <c r="B644" s="1"/>
      <c r="C644" s="1"/>
      <c r="D644" s="1"/>
    </row>
    <row r="645" ht="13.5" customHeight="1">
      <c r="A645" s="1"/>
      <c r="B645" s="1"/>
      <c r="C645" s="1"/>
      <c r="D645" s="1"/>
    </row>
    <row r="646" ht="13.5" customHeight="1">
      <c r="A646" s="1"/>
      <c r="B646" s="1"/>
      <c r="C646" s="1"/>
      <c r="D646" s="1"/>
    </row>
    <row r="647" ht="13.5" customHeight="1">
      <c r="A647" s="1"/>
      <c r="B647" s="1"/>
      <c r="C647" s="1"/>
      <c r="D647" s="1"/>
    </row>
    <row r="648" ht="13.5" customHeight="1">
      <c r="A648" s="1"/>
      <c r="B648" s="1"/>
      <c r="C648" s="1"/>
      <c r="D648" s="1"/>
    </row>
    <row r="649" ht="13.5" customHeight="1">
      <c r="A649" s="1"/>
      <c r="B649" s="1"/>
      <c r="C649" s="1"/>
      <c r="D649" s="1"/>
    </row>
    <row r="650" ht="13.5" customHeight="1">
      <c r="A650" s="1"/>
      <c r="B650" s="1"/>
      <c r="C650" s="1"/>
      <c r="D650" s="1"/>
    </row>
    <row r="651" ht="13.5" customHeight="1">
      <c r="A651" s="1"/>
      <c r="B651" s="1"/>
      <c r="C651" s="1"/>
      <c r="D651" s="1"/>
    </row>
    <row r="652" ht="13.5" customHeight="1">
      <c r="A652" s="1"/>
      <c r="B652" s="1"/>
      <c r="C652" s="1"/>
      <c r="D652" s="1"/>
    </row>
    <row r="653" ht="13.5" customHeight="1">
      <c r="A653" s="1"/>
      <c r="B653" s="1"/>
      <c r="C653" s="1"/>
      <c r="D653" s="1"/>
    </row>
    <row r="654" ht="13.5" customHeight="1">
      <c r="A654" s="1"/>
      <c r="B654" s="1"/>
      <c r="C654" s="1"/>
      <c r="D654" s="1"/>
    </row>
    <row r="655" ht="13.5" customHeight="1">
      <c r="A655" s="1"/>
      <c r="B655" s="1"/>
      <c r="C655" s="1"/>
      <c r="D655" s="1"/>
    </row>
    <row r="656" ht="13.5" customHeight="1">
      <c r="A656" s="1"/>
      <c r="B656" s="1"/>
      <c r="C656" s="1"/>
      <c r="D656" s="1"/>
    </row>
    <row r="657" ht="13.5" customHeight="1">
      <c r="A657" s="1"/>
      <c r="B657" s="1"/>
      <c r="C657" s="1"/>
      <c r="D657" s="1"/>
    </row>
    <row r="658" ht="13.5" customHeight="1">
      <c r="A658" s="1"/>
      <c r="B658" s="1"/>
      <c r="C658" s="1"/>
      <c r="D658" s="1"/>
    </row>
    <row r="659" ht="13.5" customHeight="1">
      <c r="A659" s="1"/>
      <c r="B659" s="1"/>
      <c r="C659" s="1"/>
      <c r="D659" s="1"/>
    </row>
    <row r="660" ht="13.5" customHeight="1">
      <c r="A660" s="1"/>
      <c r="B660" s="1"/>
      <c r="C660" s="1"/>
      <c r="D660" s="1"/>
    </row>
    <row r="661" ht="13.5" customHeight="1">
      <c r="A661" s="1"/>
      <c r="B661" s="1"/>
      <c r="C661" s="1"/>
      <c r="D661" s="1"/>
    </row>
    <row r="662" ht="13.5" customHeight="1">
      <c r="A662" s="1"/>
      <c r="B662" s="1"/>
      <c r="C662" s="1"/>
      <c r="D662" s="1"/>
    </row>
    <row r="663" ht="13.5" customHeight="1">
      <c r="A663" s="1"/>
      <c r="B663" s="1"/>
      <c r="C663" s="1"/>
      <c r="D663" s="1"/>
    </row>
    <row r="664" ht="13.5" customHeight="1">
      <c r="A664" s="1"/>
      <c r="B664" s="1"/>
      <c r="C664" s="1"/>
      <c r="D664" s="1"/>
    </row>
    <row r="665" ht="13.5" customHeight="1">
      <c r="A665" s="1"/>
      <c r="B665" s="1"/>
      <c r="C665" s="1"/>
      <c r="D665" s="1"/>
    </row>
    <row r="666" ht="13.5" customHeight="1">
      <c r="A666" s="1"/>
      <c r="B666" s="1"/>
      <c r="C666" s="1"/>
      <c r="D666" s="1"/>
    </row>
    <row r="667" ht="13.5" customHeight="1">
      <c r="A667" s="1"/>
      <c r="B667" s="1"/>
      <c r="C667" s="1"/>
      <c r="D667" s="1"/>
    </row>
    <row r="668" ht="13.5" customHeight="1">
      <c r="A668" s="1"/>
      <c r="B668" s="1"/>
      <c r="C668" s="1"/>
      <c r="D668" s="1"/>
    </row>
    <row r="669" ht="13.5" customHeight="1">
      <c r="A669" s="1"/>
      <c r="B669" s="1"/>
      <c r="C669" s="1"/>
      <c r="D669" s="1"/>
    </row>
    <row r="670" ht="13.5" customHeight="1">
      <c r="A670" s="1"/>
      <c r="B670" s="1"/>
      <c r="C670" s="1"/>
      <c r="D670" s="1"/>
    </row>
    <row r="671" ht="13.5" customHeight="1">
      <c r="A671" s="1"/>
      <c r="B671" s="1"/>
      <c r="C671" s="1"/>
      <c r="D671" s="1"/>
    </row>
    <row r="672" ht="13.5" customHeight="1">
      <c r="A672" s="1"/>
      <c r="B672" s="1"/>
      <c r="C672" s="1"/>
      <c r="D672" s="1"/>
    </row>
    <row r="673" ht="13.5" customHeight="1">
      <c r="A673" s="1"/>
      <c r="B673" s="1"/>
      <c r="C673" s="1"/>
      <c r="D673" s="1"/>
    </row>
    <row r="674" ht="13.5" customHeight="1">
      <c r="A674" s="1"/>
      <c r="B674" s="1"/>
      <c r="C674" s="1"/>
      <c r="D674" s="1"/>
    </row>
    <row r="675" ht="13.5" customHeight="1">
      <c r="A675" s="1"/>
      <c r="B675" s="1"/>
      <c r="C675" s="1"/>
      <c r="D675" s="1"/>
    </row>
    <row r="676" ht="13.5" customHeight="1">
      <c r="A676" s="1"/>
      <c r="B676" s="1"/>
      <c r="C676" s="1"/>
      <c r="D676" s="1"/>
    </row>
    <row r="677" ht="13.5" customHeight="1">
      <c r="A677" s="1"/>
      <c r="B677" s="1"/>
      <c r="C677" s="1"/>
      <c r="D677" s="1"/>
    </row>
    <row r="678" ht="13.5" customHeight="1">
      <c r="A678" s="1"/>
      <c r="B678" s="1"/>
      <c r="C678" s="1"/>
      <c r="D678" s="1"/>
    </row>
    <row r="679" ht="13.5" customHeight="1">
      <c r="A679" s="1"/>
      <c r="B679" s="1"/>
      <c r="C679" s="1"/>
      <c r="D679" s="1"/>
    </row>
    <row r="680" ht="13.5" customHeight="1">
      <c r="A680" s="1"/>
      <c r="B680" s="1"/>
      <c r="C680" s="1"/>
      <c r="D680" s="1"/>
    </row>
    <row r="681" ht="13.5" customHeight="1">
      <c r="A681" s="1"/>
      <c r="B681" s="1"/>
      <c r="C681" s="1"/>
      <c r="D681" s="1"/>
    </row>
    <row r="682" ht="13.5" customHeight="1">
      <c r="A682" s="1"/>
      <c r="B682" s="1"/>
      <c r="C682" s="1"/>
      <c r="D682" s="1"/>
    </row>
    <row r="683" ht="13.5" customHeight="1">
      <c r="A683" s="1"/>
      <c r="B683" s="1"/>
      <c r="C683" s="1"/>
      <c r="D683" s="1"/>
    </row>
    <row r="684" ht="13.5" customHeight="1">
      <c r="A684" s="1"/>
      <c r="B684" s="1"/>
      <c r="C684" s="1"/>
      <c r="D684" s="1"/>
    </row>
    <row r="685" ht="13.5" customHeight="1">
      <c r="A685" s="1"/>
      <c r="B685" s="1"/>
      <c r="C685" s="1"/>
      <c r="D685" s="1"/>
    </row>
    <row r="686" ht="13.5" customHeight="1">
      <c r="A686" s="1"/>
      <c r="B686" s="1"/>
      <c r="C686" s="1"/>
      <c r="D686" s="1"/>
    </row>
    <row r="687" ht="13.5" customHeight="1">
      <c r="A687" s="1"/>
      <c r="B687" s="1"/>
      <c r="C687" s="1"/>
      <c r="D687" s="1"/>
    </row>
    <row r="688" ht="13.5" customHeight="1">
      <c r="A688" s="1"/>
      <c r="B688" s="1"/>
      <c r="C688" s="1"/>
      <c r="D688" s="1"/>
    </row>
    <row r="689" ht="13.5" customHeight="1">
      <c r="A689" s="1"/>
      <c r="B689" s="1"/>
      <c r="C689" s="1"/>
      <c r="D689" s="1"/>
    </row>
    <row r="690" ht="13.5" customHeight="1">
      <c r="A690" s="1"/>
      <c r="B690" s="1"/>
      <c r="C690" s="1"/>
      <c r="D690" s="1"/>
    </row>
    <row r="691" ht="13.5" customHeight="1">
      <c r="A691" s="1"/>
      <c r="B691" s="1"/>
      <c r="C691" s="1"/>
      <c r="D691" s="1"/>
    </row>
    <row r="692" ht="13.5" customHeight="1">
      <c r="A692" s="1"/>
      <c r="B692" s="1"/>
      <c r="C692" s="1"/>
      <c r="D692" s="1"/>
    </row>
    <row r="693" ht="13.5" customHeight="1">
      <c r="A693" s="1"/>
      <c r="B693" s="1"/>
      <c r="C693" s="1"/>
      <c r="D693" s="1"/>
    </row>
    <row r="694" ht="13.5" customHeight="1">
      <c r="A694" s="1"/>
      <c r="B694" s="1"/>
      <c r="C694" s="1"/>
      <c r="D694" s="1"/>
    </row>
    <row r="695" ht="13.5" customHeight="1">
      <c r="A695" s="1"/>
      <c r="B695" s="1"/>
      <c r="C695" s="1"/>
      <c r="D695" s="1"/>
    </row>
    <row r="696" ht="13.5" customHeight="1">
      <c r="A696" s="1"/>
      <c r="B696" s="1"/>
      <c r="C696" s="1"/>
      <c r="D696" s="1"/>
    </row>
    <row r="697" ht="13.5" customHeight="1">
      <c r="A697" s="1"/>
      <c r="B697" s="1"/>
      <c r="C697" s="1"/>
      <c r="D697" s="1"/>
    </row>
    <row r="698" ht="13.5" customHeight="1">
      <c r="A698" s="1"/>
      <c r="B698" s="1"/>
      <c r="C698" s="1"/>
      <c r="D698" s="1"/>
    </row>
    <row r="699" ht="13.5" customHeight="1">
      <c r="A699" s="1"/>
      <c r="B699" s="1"/>
      <c r="C699" s="1"/>
      <c r="D699" s="1"/>
    </row>
    <row r="700" ht="13.5" customHeight="1">
      <c r="A700" s="1"/>
      <c r="B700" s="1"/>
      <c r="C700" s="1"/>
      <c r="D700" s="1"/>
    </row>
    <row r="701" ht="13.5" customHeight="1">
      <c r="A701" s="1"/>
      <c r="B701" s="1"/>
      <c r="C701" s="1"/>
      <c r="D701" s="1"/>
    </row>
    <row r="702" ht="13.5" customHeight="1">
      <c r="A702" s="1"/>
      <c r="B702" s="1"/>
      <c r="C702" s="1"/>
      <c r="D702" s="1"/>
    </row>
    <row r="703" ht="13.5" customHeight="1">
      <c r="A703" s="1"/>
      <c r="B703" s="1"/>
      <c r="C703" s="1"/>
      <c r="D703" s="1"/>
    </row>
    <row r="704" ht="13.5" customHeight="1">
      <c r="A704" s="1"/>
      <c r="B704" s="1"/>
      <c r="C704" s="1"/>
      <c r="D704" s="1"/>
    </row>
    <row r="705" ht="13.5" customHeight="1">
      <c r="A705" s="1"/>
      <c r="B705" s="1"/>
      <c r="C705" s="1"/>
      <c r="D705" s="1"/>
    </row>
    <row r="706" ht="13.5" customHeight="1">
      <c r="A706" s="1"/>
      <c r="B706" s="1"/>
      <c r="C706" s="1"/>
      <c r="D706" s="1"/>
    </row>
    <row r="707" ht="13.5" customHeight="1">
      <c r="A707" s="1"/>
      <c r="B707" s="1"/>
      <c r="C707" s="1"/>
      <c r="D707" s="1"/>
    </row>
    <row r="708" ht="13.5" customHeight="1">
      <c r="A708" s="1"/>
      <c r="B708" s="1"/>
      <c r="C708" s="1"/>
      <c r="D708" s="1"/>
    </row>
    <row r="709" ht="13.5" customHeight="1">
      <c r="A709" s="1"/>
      <c r="B709" s="1"/>
      <c r="C709" s="1"/>
      <c r="D709" s="1"/>
    </row>
    <row r="710" ht="13.5" customHeight="1">
      <c r="A710" s="1"/>
      <c r="B710" s="1"/>
      <c r="C710" s="1"/>
      <c r="D710" s="1"/>
    </row>
    <row r="711" ht="13.5" customHeight="1">
      <c r="A711" s="1"/>
      <c r="B711" s="1"/>
      <c r="C711" s="1"/>
      <c r="D711" s="1"/>
    </row>
    <row r="712" ht="13.5" customHeight="1">
      <c r="A712" s="1"/>
      <c r="B712" s="1"/>
      <c r="C712" s="1"/>
      <c r="D712" s="1"/>
    </row>
    <row r="713" ht="13.5" customHeight="1">
      <c r="A713" s="1"/>
      <c r="B713" s="1"/>
      <c r="C713" s="1"/>
      <c r="D713" s="1"/>
    </row>
    <row r="714" ht="13.5" customHeight="1">
      <c r="A714" s="1"/>
      <c r="B714" s="1"/>
      <c r="C714" s="1"/>
      <c r="D714" s="1"/>
    </row>
    <row r="715" ht="13.5" customHeight="1">
      <c r="A715" s="1"/>
      <c r="B715" s="1"/>
      <c r="C715" s="1"/>
      <c r="D715" s="1"/>
    </row>
    <row r="716" ht="13.5" customHeight="1">
      <c r="A716" s="1"/>
      <c r="B716" s="1"/>
      <c r="C716" s="1"/>
      <c r="D716" s="1"/>
    </row>
    <row r="717" ht="13.5" customHeight="1">
      <c r="A717" s="1"/>
      <c r="B717" s="1"/>
      <c r="C717" s="1"/>
      <c r="D717" s="1"/>
    </row>
    <row r="718" ht="13.5" customHeight="1">
      <c r="A718" s="1"/>
      <c r="B718" s="1"/>
      <c r="C718" s="1"/>
      <c r="D718" s="1"/>
    </row>
    <row r="719" ht="13.5" customHeight="1">
      <c r="A719" s="1"/>
      <c r="B719" s="1"/>
      <c r="C719" s="1"/>
      <c r="D719" s="1"/>
    </row>
    <row r="720" ht="13.5" customHeight="1">
      <c r="A720" s="1"/>
      <c r="B720" s="1"/>
      <c r="C720" s="1"/>
      <c r="D720" s="1"/>
    </row>
    <row r="721" ht="13.5" customHeight="1">
      <c r="A721" s="1"/>
      <c r="B721" s="1"/>
      <c r="C721" s="1"/>
      <c r="D721" s="1"/>
    </row>
    <row r="722" ht="13.5" customHeight="1">
      <c r="A722" s="1"/>
      <c r="B722" s="1"/>
      <c r="C722" s="1"/>
      <c r="D722" s="1"/>
    </row>
    <row r="723" ht="13.5" customHeight="1">
      <c r="A723" s="1"/>
      <c r="B723" s="1"/>
      <c r="C723" s="1"/>
      <c r="D723" s="1"/>
    </row>
    <row r="724" ht="13.5" customHeight="1">
      <c r="A724" s="1"/>
      <c r="B724" s="1"/>
      <c r="C724" s="1"/>
      <c r="D724" s="1"/>
    </row>
    <row r="725" ht="13.5" customHeight="1">
      <c r="A725" s="1"/>
      <c r="B725" s="1"/>
      <c r="C725" s="1"/>
      <c r="D725" s="1"/>
    </row>
    <row r="726" ht="13.5" customHeight="1">
      <c r="A726" s="1"/>
      <c r="B726" s="1"/>
      <c r="C726" s="1"/>
      <c r="D726" s="1"/>
    </row>
    <row r="727" ht="13.5" customHeight="1">
      <c r="A727" s="1"/>
      <c r="B727" s="1"/>
      <c r="C727" s="1"/>
      <c r="D727" s="1"/>
    </row>
    <row r="728" ht="13.5" customHeight="1">
      <c r="A728" s="1"/>
      <c r="B728" s="1"/>
      <c r="C728" s="1"/>
      <c r="D728" s="1"/>
    </row>
    <row r="729" ht="13.5" customHeight="1">
      <c r="A729" s="1"/>
      <c r="B729" s="1"/>
      <c r="C729" s="1"/>
      <c r="D729" s="1"/>
    </row>
    <row r="730" ht="13.5" customHeight="1">
      <c r="A730" s="1"/>
      <c r="B730" s="1"/>
      <c r="C730" s="1"/>
      <c r="D730" s="1"/>
    </row>
    <row r="731" ht="13.5" customHeight="1">
      <c r="A731" s="1"/>
      <c r="B731" s="1"/>
      <c r="C731" s="1"/>
      <c r="D731" s="1"/>
    </row>
    <row r="732" ht="13.5" customHeight="1">
      <c r="A732" s="1"/>
      <c r="B732" s="1"/>
      <c r="C732" s="1"/>
      <c r="D732" s="1"/>
    </row>
    <row r="733" ht="13.5" customHeight="1">
      <c r="A733" s="1"/>
      <c r="B733" s="1"/>
      <c r="C733" s="1"/>
      <c r="D733" s="1"/>
    </row>
    <row r="734" ht="13.5" customHeight="1">
      <c r="A734" s="1"/>
      <c r="B734" s="1"/>
      <c r="C734" s="1"/>
      <c r="D734" s="1"/>
    </row>
    <row r="735" ht="13.5" customHeight="1">
      <c r="A735" s="1"/>
      <c r="B735" s="1"/>
      <c r="C735" s="1"/>
      <c r="D735" s="1"/>
    </row>
    <row r="736" ht="13.5" customHeight="1">
      <c r="A736" s="1"/>
      <c r="B736" s="1"/>
      <c r="C736" s="1"/>
      <c r="D736" s="1"/>
    </row>
    <row r="737" ht="13.5" customHeight="1">
      <c r="A737" s="1"/>
      <c r="B737" s="1"/>
      <c r="C737" s="1"/>
      <c r="D737" s="1"/>
    </row>
    <row r="738" ht="13.5" customHeight="1">
      <c r="A738" s="1"/>
      <c r="B738" s="1"/>
      <c r="C738" s="1"/>
      <c r="D738" s="1"/>
    </row>
    <row r="739" ht="13.5" customHeight="1">
      <c r="A739" s="1"/>
      <c r="B739" s="1"/>
      <c r="C739" s="1"/>
      <c r="D739" s="1"/>
    </row>
    <row r="740" ht="13.5" customHeight="1">
      <c r="A740" s="1"/>
      <c r="B740" s="1"/>
      <c r="C740" s="1"/>
      <c r="D740" s="1"/>
    </row>
    <row r="741" ht="13.5" customHeight="1">
      <c r="A741" s="1"/>
      <c r="B741" s="1"/>
      <c r="C741" s="1"/>
      <c r="D741" s="1"/>
    </row>
    <row r="742" ht="13.5" customHeight="1">
      <c r="A742" s="1"/>
      <c r="B742" s="1"/>
      <c r="C742" s="1"/>
      <c r="D742" s="1"/>
    </row>
    <row r="743" ht="13.5" customHeight="1">
      <c r="A743" s="1"/>
      <c r="B743" s="1"/>
      <c r="C743" s="1"/>
      <c r="D743" s="1"/>
    </row>
    <row r="744" ht="13.5" customHeight="1">
      <c r="A744" s="1"/>
      <c r="B744" s="1"/>
      <c r="C744" s="1"/>
      <c r="D744" s="1"/>
    </row>
    <row r="745" ht="13.5" customHeight="1">
      <c r="A745" s="1"/>
      <c r="B745" s="1"/>
      <c r="C745" s="1"/>
      <c r="D745" s="1"/>
    </row>
    <row r="746" ht="13.5" customHeight="1">
      <c r="A746" s="1"/>
      <c r="B746" s="1"/>
      <c r="C746" s="1"/>
      <c r="D746" s="1"/>
    </row>
    <row r="747" ht="13.5" customHeight="1">
      <c r="A747" s="1"/>
      <c r="B747" s="1"/>
      <c r="C747" s="1"/>
      <c r="D747" s="1"/>
    </row>
    <row r="748" ht="13.5" customHeight="1">
      <c r="A748" s="1"/>
      <c r="B748" s="1"/>
      <c r="C748" s="1"/>
      <c r="D748" s="1"/>
    </row>
    <row r="749" ht="13.5" customHeight="1">
      <c r="A749" s="1"/>
      <c r="B749" s="1"/>
      <c r="C749" s="1"/>
      <c r="D749" s="1"/>
    </row>
    <row r="750" ht="13.5" customHeight="1">
      <c r="A750" s="1"/>
      <c r="B750" s="1"/>
      <c r="C750" s="1"/>
      <c r="D750" s="1"/>
    </row>
    <row r="751" ht="13.5" customHeight="1">
      <c r="A751" s="1"/>
      <c r="B751" s="1"/>
      <c r="C751" s="1"/>
      <c r="D751" s="1"/>
    </row>
    <row r="752" ht="13.5" customHeight="1">
      <c r="A752" s="1"/>
      <c r="B752" s="1"/>
      <c r="C752" s="1"/>
      <c r="D752" s="1"/>
    </row>
    <row r="753" ht="13.5" customHeight="1">
      <c r="A753" s="1"/>
      <c r="B753" s="1"/>
      <c r="C753" s="1"/>
      <c r="D753" s="1"/>
    </row>
    <row r="754" ht="13.5" customHeight="1">
      <c r="A754" s="1"/>
      <c r="B754" s="1"/>
      <c r="C754" s="1"/>
      <c r="D754" s="1"/>
    </row>
    <row r="755" ht="13.5" customHeight="1">
      <c r="A755" s="1"/>
      <c r="B755" s="1"/>
      <c r="C755" s="1"/>
      <c r="D755" s="1"/>
    </row>
    <row r="756" ht="13.5" customHeight="1">
      <c r="A756" s="1"/>
      <c r="B756" s="1"/>
      <c r="C756" s="1"/>
      <c r="D756" s="1"/>
    </row>
    <row r="757" ht="13.5" customHeight="1">
      <c r="A757" s="1"/>
      <c r="B757" s="1"/>
      <c r="C757" s="1"/>
      <c r="D757" s="1"/>
    </row>
    <row r="758" ht="13.5" customHeight="1">
      <c r="A758" s="1"/>
      <c r="B758" s="1"/>
      <c r="C758" s="1"/>
      <c r="D758" s="1"/>
    </row>
    <row r="759" ht="13.5" customHeight="1">
      <c r="A759" s="1"/>
      <c r="B759" s="1"/>
      <c r="C759" s="1"/>
      <c r="D759" s="1"/>
    </row>
    <row r="760" ht="13.5" customHeight="1">
      <c r="A760" s="1"/>
      <c r="B760" s="1"/>
      <c r="C760" s="1"/>
      <c r="D760" s="1"/>
    </row>
    <row r="761" ht="13.5" customHeight="1">
      <c r="A761" s="1"/>
      <c r="B761" s="1"/>
      <c r="C761" s="1"/>
      <c r="D761" s="1"/>
    </row>
    <row r="762" ht="13.5" customHeight="1">
      <c r="A762" s="1"/>
      <c r="B762" s="1"/>
      <c r="C762" s="1"/>
      <c r="D762" s="1"/>
    </row>
    <row r="763" ht="13.5" customHeight="1">
      <c r="A763" s="1"/>
      <c r="B763" s="1"/>
      <c r="C763" s="1"/>
      <c r="D763" s="1"/>
    </row>
    <row r="764" ht="13.5" customHeight="1">
      <c r="A764" s="1"/>
      <c r="B764" s="1"/>
      <c r="C764" s="1"/>
      <c r="D764" s="1"/>
    </row>
    <row r="765" ht="13.5" customHeight="1">
      <c r="A765" s="1"/>
      <c r="B765" s="1"/>
      <c r="C765" s="1"/>
      <c r="D765" s="1"/>
    </row>
    <row r="766" ht="13.5" customHeight="1">
      <c r="A766" s="1"/>
      <c r="B766" s="1"/>
      <c r="C766" s="1"/>
      <c r="D766" s="1"/>
    </row>
    <row r="767" ht="13.5" customHeight="1">
      <c r="A767" s="1"/>
      <c r="B767" s="1"/>
      <c r="C767" s="1"/>
      <c r="D767" s="1"/>
    </row>
    <row r="768" ht="13.5" customHeight="1">
      <c r="A768" s="1"/>
      <c r="B768" s="1"/>
      <c r="C768" s="1"/>
      <c r="D768" s="1"/>
    </row>
    <row r="769" ht="13.5" customHeight="1">
      <c r="A769" s="1"/>
      <c r="B769" s="1"/>
      <c r="C769" s="1"/>
      <c r="D769" s="1"/>
    </row>
    <row r="770" ht="13.5" customHeight="1">
      <c r="A770" s="1"/>
      <c r="B770" s="1"/>
      <c r="C770" s="1"/>
      <c r="D770" s="1"/>
    </row>
    <row r="771" ht="13.5" customHeight="1">
      <c r="A771" s="1"/>
      <c r="B771" s="1"/>
      <c r="C771" s="1"/>
      <c r="D771" s="1"/>
    </row>
    <row r="772" ht="13.5" customHeight="1">
      <c r="A772" s="1"/>
      <c r="B772" s="1"/>
      <c r="C772" s="1"/>
      <c r="D772" s="1"/>
    </row>
    <row r="773" ht="13.5" customHeight="1">
      <c r="A773" s="1"/>
      <c r="B773" s="1"/>
      <c r="C773" s="1"/>
      <c r="D773" s="1"/>
    </row>
    <row r="774" ht="13.5" customHeight="1">
      <c r="A774" s="1"/>
      <c r="B774" s="1"/>
      <c r="C774" s="1"/>
      <c r="D774" s="1"/>
    </row>
    <row r="775" ht="13.5" customHeight="1">
      <c r="A775" s="1"/>
      <c r="B775" s="1"/>
      <c r="C775" s="1"/>
      <c r="D775" s="1"/>
    </row>
    <row r="776" ht="13.5" customHeight="1">
      <c r="A776" s="1"/>
      <c r="B776" s="1"/>
      <c r="C776" s="1"/>
      <c r="D776" s="1"/>
    </row>
    <row r="777" ht="13.5" customHeight="1">
      <c r="A777" s="1"/>
      <c r="B777" s="1"/>
      <c r="C777" s="1"/>
      <c r="D777" s="1"/>
    </row>
    <row r="778" ht="13.5" customHeight="1">
      <c r="A778" s="1"/>
      <c r="B778" s="1"/>
      <c r="C778" s="1"/>
      <c r="D778" s="1"/>
    </row>
    <row r="779" ht="13.5" customHeight="1">
      <c r="A779" s="1"/>
      <c r="B779" s="1"/>
      <c r="C779" s="1"/>
      <c r="D779" s="1"/>
    </row>
    <row r="780" ht="13.5" customHeight="1">
      <c r="A780" s="1"/>
      <c r="B780" s="1"/>
      <c r="C780" s="1"/>
      <c r="D780" s="1"/>
    </row>
    <row r="781" ht="13.5" customHeight="1">
      <c r="A781" s="1"/>
      <c r="B781" s="1"/>
      <c r="C781" s="1"/>
      <c r="D781" s="1"/>
    </row>
    <row r="782" ht="13.5" customHeight="1">
      <c r="A782" s="1"/>
      <c r="B782" s="1"/>
      <c r="C782" s="1"/>
      <c r="D782" s="1"/>
    </row>
    <row r="783" ht="13.5" customHeight="1">
      <c r="A783" s="1"/>
      <c r="B783" s="1"/>
      <c r="C783" s="1"/>
      <c r="D783" s="1"/>
    </row>
    <row r="784" ht="13.5" customHeight="1">
      <c r="A784" s="1"/>
      <c r="B784" s="1"/>
      <c r="C784" s="1"/>
      <c r="D784" s="1"/>
    </row>
    <row r="785" ht="13.5" customHeight="1">
      <c r="A785" s="1"/>
      <c r="B785" s="1"/>
      <c r="C785" s="1"/>
      <c r="D785" s="1"/>
    </row>
    <row r="786" ht="13.5" customHeight="1">
      <c r="A786" s="1"/>
      <c r="B786" s="1"/>
      <c r="C786" s="1"/>
      <c r="D786" s="1"/>
    </row>
    <row r="787" ht="13.5" customHeight="1">
      <c r="A787" s="1"/>
      <c r="B787" s="1"/>
      <c r="C787" s="1"/>
      <c r="D787" s="1"/>
    </row>
    <row r="788" ht="13.5" customHeight="1">
      <c r="A788" s="1"/>
      <c r="B788" s="1"/>
      <c r="C788" s="1"/>
      <c r="D788" s="1"/>
    </row>
    <row r="789" ht="13.5" customHeight="1">
      <c r="A789" s="1"/>
      <c r="B789" s="1"/>
      <c r="C789" s="1"/>
      <c r="D789" s="1"/>
    </row>
    <row r="790" ht="13.5" customHeight="1">
      <c r="A790" s="1"/>
      <c r="B790" s="1"/>
      <c r="C790" s="1"/>
      <c r="D790" s="1"/>
    </row>
    <row r="791" ht="13.5" customHeight="1">
      <c r="A791" s="1"/>
      <c r="B791" s="1"/>
      <c r="C791" s="1"/>
      <c r="D791" s="1"/>
    </row>
    <row r="792" ht="13.5" customHeight="1">
      <c r="A792" s="1"/>
      <c r="B792" s="1"/>
      <c r="C792" s="1"/>
      <c r="D792" s="1"/>
    </row>
    <row r="793" ht="13.5" customHeight="1">
      <c r="A793" s="1"/>
      <c r="B793" s="1"/>
      <c r="C793" s="1"/>
      <c r="D793" s="1"/>
    </row>
    <row r="794" ht="13.5" customHeight="1">
      <c r="A794" s="1"/>
      <c r="B794" s="1"/>
      <c r="C794" s="1"/>
      <c r="D794" s="1"/>
    </row>
    <row r="795" ht="13.5" customHeight="1">
      <c r="A795" s="1"/>
      <c r="B795" s="1"/>
      <c r="C795" s="1"/>
      <c r="D795" s="1"/>
    </row>
    <row r="796" ht="13.5" customHeight="1">
      <c r="A796" s="1"/>
      <c r="B796" s="1"/>
      <c r="C796" s="1"/>
      <c r="D796" s="1"/>
    </row>
    <row r="797" ht="13.5" customHeight="1">
      <c r="A797" s="1"/>
      <c r="B797" s="1"/>
      <c r="C797" s="1"/>
      <c r="D797" s="1"/>
    </row>
    <row r="798" ht="13.5" customHeight="1">
      <c r="A798" s="1"/>
      <c r="B798" s="1"/>
      <c r="C798" s="1"/>
      <c r="D798" s="1"/>
    </row>
    <row r="799" ht="13.5" customHeight="1">
      <c r="A799" s="1"/>
      <c r="B799" s="1"/>
      <c r="C799" s="1"/>
      <c r="D799" s="1"/>
    </row>
    <row r="800" ht="13.5" customHeight="1">
      <c r="A800" s="1"/>
      <c r="B800" s="1"/>
      <c r="C800" s="1"/>
      <c r="D800" s="1"/>
    </row>
    <row r="801" ht="13.5" customHeight="1">
      <c r="A801" s="1"/>
      <c r="B801" s="1"/>
      <c r="C801" s="1"/>
      <c r="D801" s="1"/>
    </row>
    <row r="802" ht="13.5" customHeight="1">
      <c r="A802" s="1"/>
      <c r="B802" s="1"/>
      <c r="C802" s="1"/>
      <c r="D802" s="1"/>
    </row>
    <row r="803" ht="13.5" customHeight="1">
      <c r="A803" s="1"/>
      <c r="B803" s="1"/>
      <c r="C803" s="1"/>
      <c r="D803" s="1"/>
    </row>
    <row r="804" ht="13.5" customHeight="1">
      <c r="A804" s="1"/>
      <c r="B804" s="1"/>
      <c r="C804" s="1"/>
      <c r="D804" s="1"/>
    </row>
    <row r="805" ht="13.5" customHeight="1">
      <c r="A805" s="1"/>
      <c r="B805" s="1"/>
      <c r="C805" s="1"/>
      <c r="D805" s="1"/>
    </row>
    <row r="806" ht="13.5" customHeight="1">
      <c r="A806" s="1"/>
      <c r="B806" s="1"/>
      <c r="C806" s="1"/>
      <c r="D806" s="1"/>
    </row>
    <row r="807" ht="13.5" customHeight="1">
      <c r="A807" s="1"/>
      <c r="B807" s="1"/>
      <c r="C807" s="1"/>
      <c r="D807" s="1"/>
    </row>
    <row r="808" ht="13.5" customHeight="1">
      <c r="A808" s="1"/>
      <c r="B808" s="1"/>
      <c r="C808" s="1"/>
      <c r="D808" s="1"/>
    </row>
    <row r="809" ht="13.5" customHeight="1">
      <c r="A809" s="1"/>
      <c r="B809" s="1"/>
      <c r="C809" s="1"/>
      <c r="D809" s="1"/>
    </row>
    <row r="810" ht="13.5" customHeight="1">
      <c r="A810" s="1"/>
      <c r="B810" s="1"/>
      <c r="C810" s="1"/>
      <c r="D810" s="1"/>
    </row>
    <row r="811" ht="13.5" customHeight="1">
      <c r="A811" s="1"/>
      <c r="B811" s="1"/>
      <c r="C811" s="1"/>
      <c r="D811" s="1"/>
    </row>
    <row r="812" ht="13.5" customHeight="1">
      <c r="A812" s="1"/>
      <c r="B812" s="1"/>
      <c r="C812" s="1"/>
      <c r="D812" s="1"/>
    </row>
    <row r="813" ht="13.5" customHeight="1">
      <c r="A813" s="1"/>
      <c r="B813" s="1"/>
      <c r="C813" s="1"/>
      <c r="D813" s="1"/>
    </row>
    <row r="814" ht="13.5" customHeight="1">
      <c r="A814" s="1"/>
      <c r="B814" s="1"/>
      <c r="C814" s="1"/>
      <c r="D814" s="1"/>
    </row>
    <row r="815" ht="13.5" customHeight="1">
      <c r="A815" s="1"/>
      <c r="B815" s="1"/>
      <c r="C815" s="1"/>
      <c r="D815" s="1"/>
    </row>
    <row r="816" ht="13.5" customHeight="1">
      <c r="A816" s="1"/>
      <c r="B816" s="1"/>
      <c r="C816" s="1"/>
      <c r="D816" s="1"/>
    </row>
    <row r="817" ht="13.5" customHeight="1">
      <c r="A817" s="1"/>
      <c r="B817" s="1"/>
      <c r="C817" s="1"/>
      <c r="D817" s="1"/>
    </row>
    <row r="818" ht="13.5" customHeight="1">
      <c r="A818" s="1"/>
      <c r="B818" s="1"/>
      <c r="C818" s="1"/>
      <c r="D818" s="1"/>
    </row>
    <row r="819" ht="13.5" customHeight="1">
      <c r="A819" s="1"/>
      <c r="B819" s="1"/>
      <c r="C819" s="1"/>
      <c r="D819" s="1"/>
    </row>
    <row r="820" ht="13.5" customHeight="1">
      <c r="A820" s="1"/>
      <c r="B820" s="1"/>
      <c r="C820" s="1"/>
      <c r="D820" s="1"/>
    </row>
    <row r="821" ht="13.5" customHeight="1">
      <c r="A821" s="1"/>
      <c r="B821" s="1"/>
      <c r="C821" s="1"/>
      <c r="D821" s="1"/>
    </row>
    <row r="822" ht="13.5" customHeight="1">
      <c r="A822" s="1"/>
      <c r="B822" s="1"/>
      <c r="C822" s="1"/>
      <c r="D822" s="1"/>
    </row>
    <row r="823" ht="13.5" customHeight="1">
      <c r="A823" s="1"/>
      <c r="B823" s="1"/>
      <c r="C823" s="1"/>
      <c r="D823" s="1"/>
    </row>
    <row r="824" ht="13.5" customHeight="1">
      <c r="A824" s="1"/>
      <c r="B824" s="1"/>
      <c r="C824" s="1"/>
      <c r="D824" s="1"/>
    </row>
    <row r="825" ht="13.5" customHeight="1">
      <c r="A825" s="1"/>
      <c r="B825" s="1"/>
      <c r="C825" s="1"/>
      <c r="D825" s="1"/>
    </row>
    <row r="826" ht="13.5" customHeight="1">
      <c r="A826" s="1"/>
      <c r="B826" s="1"/>
      <c r="C826" s="1"/>
      <c r="D826" s="1"/>
    </row>
    <row r="827" ht="13.5" customHeight="1">
      <c r="A827" s="1"/>
      <c r="B827" s="1"/>
      <c r="C827" s="1"/>
      <c r="D827" s="1"/>
    </row>
    <row r="828" ht="13.5" customHeight="1">
      <c r="A828" s="1"/>
      <c r="B828" s="1"/>
      <c r="C828" s="1"/>
      <c r="D828" s="1"/>
    </row>
    <row r="829" ht="13.5" customHeight="1">
      <c r="A829" s="1"/>
      <c r="B829" s="1"/>
      <c r="C829" s="1"/>
      <c r="D829" s="1"/>
    </row>
    <row r="830" ht="13.5" customHeight="1">
      <c r="A830" s="1"/>
      <c r="B830" s="1"/>
      <c r="C830" s="1"/>
      <c r="D830" s="1"/>
    </row>
    <row r="831" ht="13.5" customHeight="1">
      <c r="A831" s="1"/>
      <c r="B831" s="1"/>
      <c r="C831" s="1"/>
      <c r="D831" s="1"/>
    </row>
    <row r="832" ht="13.5" customHeight="1">
      <c r="A832" s="1"/>
      <c r="B832" s="1"/>
      <c r="C832" s="1"/>
      <c r="D832" s="1"/>
    </row>
    <row r="833" ht="13.5" customHeight="1">
      <c r="A833" s="1"/>
      <c r="B833" s="1"/>
      <c r="C833" s="1"/>
      <c r="D833" s="1"/>
    </row>
    <row r="834" ht="13.5" customHeight="1">
      <c r="A834" s="1"/>
      <c r="B834" s="1"/>
      <c r="C834" s="1"/>
      <c r="D834" s="1"/>
    </row>
    <row r="835" ht="13.5" customHeight="1">
      <c r="A835" s="1"/>
      <c r="B835" s="1"/>
      <c r="C835" s="1"/>
      <c r="D835" s="1"/>
    </row>
    <row r="836" ht="13.5" customHeight="1">
      <c r="A836" s="1"/>
      <c r="B836" s="1"/>
      <c r="C836" s="1"/>
      <c r="D836" s="1"/>
    </row>
    <row r="837" ht="13.5" customHeight="1">
      <c r="A837" s="1"/>
      <c r="B837" s="1"/>
      <c r="C837" s="1"/>
      <c r="D837" s="1"/>
    </row>
    <row r="838" ht="13.5" customHeight="1">
      <c r="A838" s="1"/>
      <c r="B838" s="1"/>
      <c r="C838" s="1"/>
      <c r="D838" s="1"/>
    </row>
    <row r="839" ht="13.5" customHeight="1">
      <c r="A839" s="1"/>
      <c r="B839" s="1"/>
      <c r="C839" s="1"/>
      <c r="D839" s="1"/>
    </row>
    <row r="840" ht="13.5" customHeight="1">
      <c r="A840" s="1"/>
      <c r="B840" s="1"/>
      <c r="C840" s="1"/>
      <c r="D840" s="1"/>
    </row>
    <row r="841" ht="13.5" customHeight="1">
      <c r="A841" s="1"/>
      <c r="B841" s="1"/>
      <c r="C841" s="1"/>
      <c r="D841" s="1"/>
    </row>
    <row r="842" ht="13.5" customHeight="1">
      <c r="A842" s="1"/>
      <c r="B842" s="1"/>
      <c r="C842" s="1"/>
      <c r="D842" s="1"/>
    </row>
    <row r="843" ht="13.5" customHeight="1">
      <c r="A843" s="1"/>
      <c r="B843" s="1"/>
      <c r="C843" s="1"/>
      <c r="D843" s="1"/>
    </row>
    <row r="844" ht="13.5" customHeight="1">
      <c r="A844" s="1"/>
      <c r="B844" s="1"/>
      <c r="C844" s="1"/>
      <c r="D844" s="1"/>
    </row>
    <row r="845" ht="13.5" customHeight="1">
      <c r="A845" s="1"/>
      <c r="B845" s="1"/>
      <c r="C845" s="1"/>
      <c r="D845" s="1"/>
    </row>
    <row r="846" ht="13.5" customHeight="1">
      <c r="A846" s="1"/>
      <c r="B846" s="1"/>
      <c r="C846" s="1"/>
      <c r="D846" s="1"/>
    </row>
    <row r="847" ht="13.5" customHeight="1">
      <c r="A847" s="1"/>
      <c r="B847" s="1"/>
      <c r="C847" s="1"/>
      <c r="D847" s="1"/>
    </row>
    <row r="848" ht="13.5" customHeight="1">
      <c r="A848" s="1"/>
      <c r="B848" s="1"/>
      <c r="C848" s="1"/>
      <c r="D848" s="1"/>
    </row>
    <row r="849" ht="13.5" customHeight="1">
      <c r="A849" s="1"/>
      <c r="B849" s="1"/>
      <c r="C849" s="1"/>
      <c r="D849" s="1"/>
    </row>
    <row r="850" ht="13.5" customHeight="1">
      <c r="A850" s="1"/>
      <c r="B850" s="1"/>
      <c r="C850" s="1"/>
      <c r="D850" s="1"/>
    </row>
    <row r="851" ht="13.5" customHeight="1">
      <c r="A851" s="1"/>
      <c r="B851" s="1"/>
      <c r="C851" s="1"/>
      <c r="D851" s="1"/>
    </row>
    <row r="852" ht="13.5" customHeight="1">
      <c r="A852" s="1"/>
      <c r="B852" s="1"/>
      <c r="C852" s="1"/>
      <c r="D852" s="1"/>
    </row>
    <row r="853" ht="13.5" customHeight="1">
      <c r="A853" s="1"/>
      <c r="B853" s="1"/>
      <c r="C853" s="1"/>
      <c r="D853" s="1"/>
    </row>
    <row r="854" ht="13.5" customHeight="1">
      <c r="A854" s="1"/>
      <c r="B854" s="1"/>
      <c r="C854" s="1"/>
      <c r="D854" s="1"/>
    </row>
    <row r="855" ht="13.5" customHeight="1">
      <c r="A855" s="1"/>
      <c r="B855" s="1"/>
      <c r="C855" s="1"/>
      <c r="D855" s="1"/>
    </row>
    <row r="856" ht="13.5" customHeight="1">
      <c r="A856" s="1"/>
      <c r="B856" s="1"/>
      <c r="C856" s="1"/>
      <c r="D856" s="1"/>
    </row>
    <row r="857" ht="13.5" customHeight="1">
      <c r="A857" s="1"/>
      <c r="B857" s="1"/>
      <c r="C857" s="1"/>
      <c r="D857" s="1"/>
    </row>
    <row r="858" ht="13.5" customHeight="1">
      <c r="A858" s="1"/>
      <c r="B858" s="1"/>
      <c r="C858" s="1"/>
      <c r="D858" s="1"/>
    </row>
    <row r="859" ht="13.5" customHeight="1">
      <c r="A859" s="1"/>
      <c r="B859" s="1"/>
      <c r="C859" s="1"/>
      <c r="D859" s="1"/>
    </row>
    <row r="860" ht="13.5" customHeight="1">
      <c r="A860" s="1"/>
      <c r="B860" s="1"/>
      <c r="C860" s="1"/>
      <c r="D860" s="1"/>
    </row>
    <row r="861" ht="13.5" customHeight="1">
      <c r="A861" s="1"/>
      <c r="B861" s="1"/>
      <c r="C861" s="1"/>
      <c r="D861" s="1"/>
    </row>
    <row r="862" ht="13.5" customHeight="1">
      <c r="A862" s="1"/>
      <c r="B862" s="1"/>
      <c r="C862" s="1"/>
      <c r="D862" s="1"/>
    </row>
    <row r="863" ht="13.5" customHeight="1">
      <c r="A863" s="1"/>
      <c r="B863" s="1"/>
      <c r="C863" s="1"/>
      <c r="D863" s="1"/>
    </row>
    <row r="864" ht="13.5" customHeight="1">
      <c r="A864" s="1"/>
      <c r="B864" s="1"/>
      <c r="C864" s="1"/>
      <c r="D864" s="1"/>
    </row>
    <row r="865" ht="13.5" customHeight="1">
      <c r="A865" s="1"/>
      <c r="B865" s="1"/>
      <c r="C865" s="1"/>
      <c r="D865" s="1"/>
    </row>
    <row r="866" ht="13.5" customHeight="1">
      <c r="A866" s="1"/>
      <c r="B866" s="1"/>
      <c r="C866" s="1"/>
      <c r="D866" s="1"/>
    </row>
    <row r="867" ht="13.5" customHeight="1">
      <c r="A867" s="1"/>
      <c r="B867" s="1"/>
      <c r="C867" s="1"/>
      <c r="D867" s="1"/>
    </row>
    <row r="868" ht="13.5" customHeight="1">
      <c r="A868" s="1"/>
      <c r="B868" s="1"/>
      <c r="C868" s="1"/>
      <c r="D868" s="1"/>
    </row>
    <row r="869" ht="13.5" customHeight="1">
      <c r="A869" s="1"/>
      <c r="B869" s="1"/>
      <c r="C869" s="1"/>
      <c r="D869" s="1"/>
    </row>
    <row r="870" ht="13.5" customHeight="1">
      <c r="A870" s="1"/>
      <c r="B870" s="1"/>
      <c r="C870" s="1"/>
      <c r="D870" s="1"/>
    </row>
    <row r="871" ht="13.5" customHeight="1">
      <c r="A871" s="1"/>
      <c r="B871" s="1"/>
      <c r="C871" s="1"/>
      <c r="D871" s="1"/>
    </row>
    <row r="872" ht="13.5" customHeight="1">
      <c r="A872" s="1"/>
      <c r="B872" s="1"/>
      <c r="C872" s="1"/>
      <c r="D872" s="1"/>
    </row>
    <row r="873" ht="13.5" customHeight="1">
      <c r="A873" s="1"/>
      <c r="B873" s="1"/>
      <c r="C873" s="1"/>
      <c r="D873" s="1"/>
    </row>
    <row r="874" ht="13.5" customHeight="1">
      <c r="A874" s="1"/>
      <c r="B874" s="1"/>
      <c r="C874" s="1"/>
      <c r="D874" s="1"/>
    </row>
    <row r="875" ht="13.5" customHeight="1">
      <c r="A875" s="1"/>
      <c r="B875" s="1"/>
      <c r="C875" s="1"/>
      <c r="D875" s="1"/>
    </row>
    <row r="876" ht="13.5" customHeight="1">
      <c r="A876" s="1"/>
      <c r="B876" s="1"/>
      <c r="C876" s="1"/>
      <c r="D876" s="1"/>
    </row>
    <row r="877" ht="13.5" customHeight="1">
      <c r="A877" s="1"/>
      <c r="B877" s="1"/>
      <c r="C877" s="1"/>
      <c r="D877" s="1"/>
    </row>
    <row r="878" ht="13.5" customHeight="1">
      <c r="A878" s="1"/>
      <c r="B878" s="1"/>
      <c r="C878" s="1"/>
      <c r="D878" s="1"/>
    </row>
    <row r="879" ht="13.5" customHeight="1">
      <c r="A879" s="1"/>
      <c r="B879" s="1"/>
      <c r="C879" s="1"/>
      <c r="D879" s="1"/>
    </row>
    <row r="880" ht="13.5" customHeight="1">
      <c r="A880" s="1"/>
      <c r="B880" s="1"/>
      <c r="C880" s="1"/>
      <c r="D880" s="1"/>
    </row>
    <row r="881" ht="13.5" customHeight="1">
      <c r="A881" s="1"/>
      <c r="B881" s="1"/>
      <c r="C881" s="1"/>
      <c r="D881" s="1"/>
    </row>
    <row r="882" ht="13.5" customHeight="1">
      <c r="A882" s="1"/>
      <c r="B882" s="1"/>
      <c r="C882" s="1"/>
      <c r="D882" s="1"/>
    </row>
    <row r="883" ht="13.5" customHeight="1">
      <c r="A883" s="1"/>
      <c r="B883" s="1"/>
      <c r="C883" s="1"/>
      <c r="D883" s="1"/>
    </row>
    <row r="884" ht="13.5" customHeight="1">
      <c r="A884" s="1"/>
      <c r="B884" s="1"/>
      <c r="C884" s="1"/>
      <c r="D884" s="1"/>
    </row>
    <row r="885" ht="13.5" customHeight="1">
      <c r="A885" s="1"/>
      <c r="B885" s="1"/>
      <c r="C885" s="1"/>
      <c r="D885" s="1"/>
    </row>
    <row r="886" ht="13.5" customHeight="1">
      <c r="A886" s="1"/>
      <c r="B886" s="1"/>
      <c r="C886" s="1"/>
      <c r="D886" s="1"/>
    </row>
    <row r="887" ht="13.5" customHeight="1">
      <c r="A887" s="1"/>
      <c r="B887" s="1"/>
      <c r="C887" s="1"/>
      <c r="D887" s="1"/>
    </row>
    <row r="888" ht="13.5" customHeight="1">
      <c r="A888" s="1"/>
      <c r="B888" s="1"/>
      <c r="C888" s="1"/>
      <c r="D888" s="1"/>
    </row>
    <row r="889" ht="13.5" customHeight="1">
      <c r="A889" s="1"/>
      <c r="B889" s="1"/>
      <c r="C889" s="1"/>
      <c r="D889" s="1"/>
    </row>
    <row r="890" ht="13.5" customHeight="1">
      <c r="A890" s="1"/>
      <c r="B890" s="1"/>
      <c r="C890" s="1"/>
      <c r="D890" s="1"/>
    </row>
    <row r="891" ht="13.5" customHeight="1">
      <c r="A891" s="1"/>
      <c r="B891" s="1"/>
      <c r="C891" s="1"/>
      <c r="D891" s="1"/>
    </row>
    <row r="892" ht="13.5" customHeight="1">
      <c r="A892" s="1"/>
      <c r="B892" s="1"/>
      <c r="C892" s="1"/>
      <c r="D892" s="1"/>
    </row>
    <row r="893" ht="13.5" customHeight="1">
      <c r="A893" s="1"/>
      <c r="B893" s="1"/>
      <c r="C893" s="1"/>
      <c r="D893" s="1"/>
    </row>
    <row r="894" ht="13.5" customHeight="1">
      <c r="A894" s="1"/>
      <c r="B894" s="1"/>
      <c r="C894" s="1"/>
      <c r="D894" s="1"/>
    </row>
    <row r="895" ht="13.5" customHeight="1">
      <c r="A895" s="1"/>
      <c r="B895" s="1"/>
      <c r="C895" s="1"/>
      <c r="D895" s="1"/>
    </row>
    <row r="896" ht="13.5" customHeight="1">
      <c r="A896" s="1"/>
      <c r="B896" s="1"/>
      <c r="C896" s="1"/>
      <c r="D896" s="1"/>
    </row>
    <row r="897" ht="13.5" customHeight="1">
      <c r="A897" s="1"/>
      <c r="B897" s="1"/>
      <c r="C897" s="1"/>
      <c r="D897" s="1"/>
    </row>
    <row r="898" ht="13.5" customHeight="1">
      <c r="A898" s="1"/>
      <c r="B898" s="1"/>
      <c r="C898" s="1"/>
      <c r="D898" s="1"/>
    </row>
    <row r="899" ht="13.5" customHeight="1">
      <c r="A899" s="1"/>
      <c r="B899" s="1"/>
      <c r="C899" s="1"/>
      <c r="D899" s="1"/>
    </row>
    <row r="900" ht="13.5" customHeight="1">
      <c r="A900" s="1"/>
      <c r="B900" s="1"/>
      <c r="C900" s="1"/>
      <c r="D900" s="1"/>
    </row>
    <row r="901" ht="13.5" customHeight="1">
      <c r="A901" s="1"/>
      <c r="B901" s="1"/>
      <c r="C901" s="1"/>
      <c r="D901" s="1"/>
    </row>
    <row r="902" ht="13.5" customHeight="1">
      <c r="A902" s="1"/>
      <c r="B902" s="1"/>
      <c r="C902" s="1"/>
      <c r="D902" s="1"/>
    </row>
    <row r="903" ht="13.5" customHeight="1">
      <c r="A903" s="1"/>
      <c r="B903" s="1"/>
      <c r="C903" s="1"/>
      <c r="D903" s="1"/>
    </row>
    <row r="904" ht="13.5" customHeight="1">
      <c r="A904" s="1"/>
      <c r="B904" s="1"/>
      <c r="C904" s="1"/>
      <c r="D904" s="1"/>
    </row>
    <row r="905" ht="13.5" customHeight="1">
      <c r="A905" s="1"/>
      <c r="B905" s="1"/>
      <c r="C905" s="1"/>
      <c r="D905" s="1"/>
    </row>
    <row r="906" ht="13.5" customHeight="1">
      <c r="A906" s="1"/>
      <c r="B906" s="1"/>
      <c r="C906" s="1"/>
      <c r="D906" s="1"/>
    </row>
    <row r="907" ht="13.5" customHeight="1">
      <c r="A907" s="1"/>
      <c r="B907" s="1"/>
      <c r="C907" s="1"/>
      <c r="D907" s="1"/>
    </row>
    <row r="908" ht="13.5" customHeight="1">
      <c r="A908" s="1"/>
      <c r="B908" s="1"/>
      <c r="C908" s="1"/>
      <c r="D908" s="1"/>
    </row>
    <row r="909" ht="13.5" customHeight="1">
      <c r="A909" s="1"/>
      <c r="B909" s="1"/>
      <c r="C909" s="1"/>
      <c r="D909" s="1"/>
    </row>
    <row r="910" ht="13.5" customHeight="1">
      <c r="A910" s="1"/>
      <c r="B910" s="1"/>
      <c r="C910" s="1"/>
      <c r="D910" s="1"/>
    </row>
    <row r="911" ht="13.5" customHeight="1">
      <c r="A911" s="1"/>
      <c r="B911" s="1"/>
      <c r="C911" s="1"/>
      <c r="D911" s="1"/>
    </row>
    <row r="912" ht="13.5" customHeight="1">
      <c r="A912" s="1"/>
      <c r="B912" s="1"/>
      <c r="C912" s="1"/>
      <c r="D912" s="1"/>
    </row>
    <row r="913" ht="13.5" customHeight="1">
      <c r="A913" s="1"/>
      <c r="B913" s="1"/>
      <c r="C913" s="1"/>
      <c r="D913" s="1"/>
    </row>
    <row r="914" ht="13.5" customHeight="1">
      <c r="A914" s="1"/>
      <c r="B914" s="1"/>
      <c r="C914" s="1"/>
      <c r="D914" s="1"/>
    </row>
    <row r="915" ht="13.5" customHeight="1">
      <c r="A915" s="1"/>
      <c r="B915" s="1"/>
      <c r="C915" s="1"/>
      <c r="D915" s="1"/>
    </row>
    <row r="916" ht="13.5" customHeight="1">
      <c r="A916" s="1"/>
      <c r="B916" s="1"/>
      <c r="C916" s="1"/>
      <c r="D916" s="1"/>
    </row>
    <row r="917" ht="13.5" customHeight="1">
      <c r="A917" s="1"/>
      <c r="B917" s="1"/>
      <c r="C917" s="1"/>
      <c r="D917" s="1"/>
    </row>
    <row r="918" ht="13.5" customHeight="1">
      <c r="A918" s="1"/>
      <c r="B918" s="1"/>
      <c r="C918" s="1"/>
      <c r="D918" s="1"/>
    </row>
    <row r="919" ht="13.5" customHeight="1">
      <c r="A919" s="1"/>
      <c r="B919" s="1"/>
      <c r="C919" s="1"/>
      <c r="D919" s="1"/>
    </row>
    <row r="920" ht="13.5" customHeight="1">
      <c r="A920" s="1"/>
      <c r="B920" s="1"/>
      <c r="C920" s="1"/>
      <c r="D920" s="1"/>
    </row>
    <row r="921" ht="13.5" customHeight="1">
      <c r="A921" s="1"/>
      <c r="B921" s="1"/>
      <c r="C921" s="1"/>
      <c r="D921" s="1"/>
    </row>
    <row r="922" ht="13.5" customHeight="1">
      <c r="A922" s="1"/>
      <c r="B922" s="1"/>
      <c r="C922" s="1"/>
      <c r="D922" s="1"/>
    </row>
    <row r="923" ht="13.5" customHeight="1">
      <c r="A923" s="1"/>
      <c r="B923" s="1"/>
      <c r="C923" s="1"/>
      <c r="D923" s="1"/>
    </row>
    <row r="924" ht="13.5" customHeight="1">
      <c r="A924" s="1"/>
      <c r="B924" s="1"/>
      <c r="C924" s="1"/>
      <c r="D924" s="1"/>
    </row>
    <row r="925" ht="13.5" customHeight="1">
      <c r="A925" s="1"/>
      <c r="B925" s="1"/>
      <c r="C925" s="1"/>
      <c r="D925" s="1"/>
    </row>
    <row r="926" ht="13.5" customHeight="1">
      <c r="A926" s="1"/>
      <c r="B926" s="1"/>
      <c r="C926" s="1"/>
      <c r="D926" s="1"/>
    </row>
    <row r="927" ht="13.5" customHeight="1">
      <c r="A927" s="1"/>
      <c r="B927" s="1"/>
      <c r="C927" s="1"/>
      <c r="D927" s="1"/>
    </row>
    <row r="928" ht="13.5" customHeight="1">
      <c r="A928" s="1"/>
      <c r="B928" s="1"/>
      <c r="C928" s="1"/>
      <c r="D928" s="1"/>
    </row>
    <row r="929" ht="13.5" customHeight="1">
      <c r="A929" s="1"/>
      <c r="B929" s="1"/>
      <c r="C929" s="1"/>
      <c r="D929" s="1"/>
    </row>
    <row r="930" ht="13.5" customHeight="1">
      <c r="A930" s="1"/>
      <c r="B930" s="1"/>
      <c r="C930" s="1"/>
      <c r="D930" s="1"/>
    </row>
    <row r="931" ht="13.5" customHeight="1">
      <c r="A931" s="1"/>
      <c r="B931" s="1"/>
      <c r="C931" s="1"/>
      <c r="D931" s="1"/>
    </row>
    <row r="932" ht="13.5" customHeight="1">
      <c r="A932" s="1"/>
      <c r="B932" s="1"/>
      <c r="C932" s="1"/>
      <c r="D932" s="1"/>
    </row>
    <row r="933" ht="13.5" customHeight="1">
      <c r="A933" s="1"/>
      <c r="B933" s="1"/>
      <c r="C933" s="1"/>
      <c r="D933" s="1"/>
    </row>
    <row r="934" ht="13.5" customHeight="1">
      <c r="A934" s="1"/>
      <c r="B934" s="1"/>
      <c r="C934" s="1"/>
      <c r="D934" s="1"/>
    </row>
    <row r="935" ht="13.5" customHeight="1">
      <c r="A935" s="1"/>
      <c r="B935" s="1"/>
      <c r="C935" s="1"/>
      <c r="D935" s="1"/>
    </row>
    <row r="936" ht="13.5" customHeight="1">
      <c r="A936" s="1"/>
      <c r="B936" s="1"/>
      <c r="C936" s="1"/>
      <c r="D936" s="1"/>
    </row>
    <row r="937" ht="13.5" customHeight="1">
      <c r="A937" s="1"/>
      <c r="B937" s="1"/>
      <c r="C937" s="1"/>
      <c r="D937" s="1"/>
    </row>
    <row r="938" ht="13.5" customHeight="1">
      <c r="A938" s="1"/>
      <c r="B938" s="1"/>
      <c r="C938" s="1"/>
      <c r="D938" s="1"/>
    </row>
    <row r="939" ht="13.5" customHeight="1">
      <c r="A939" s="1"/>
      <c r="B939" s="1"/>
      <c r="C939" s="1"/>
      <c r="D939" s="1"/>
    </row>
    <row r="940" ht="13.5" customHeight="1">
      <c r="A940" s="1"/>
      <c r="B940" s="1"/>
      <c r="C940" s="1"/>
      <c r="D940" s="1"/>
    </row>
    <row r="941" ht="13.5" customHeight="1">
      <c r="A941" s="1"/>
      <c r="B941" s="1"/>
      <c r="C941" s="1"/>
      <c r="D941" s="1"/>
    </row>
    <row r="942" ht="13.5" customHeight="1">
      <c r="A942" s="1"/>
      <c r="B942" s="1"/>
      <c r="C942" s="1"/>
      <c r="D942" s="1"/>
    </row>
    <row r="943" ht="13.5" customHeight="1">
      <c r="A943" s="1"/>
      <c r="B943" s="1"/>
      <c r="C943" s="1"/>
      <c r="D943" s="1"/>
    </row>
    <row r="944" ht="13.5" customHeight="1">
      <c r="A944" s="1"/>
      <c r="B944" s="1"/>
      <c r="C944" s="1"/>
      <c r="D944" s="1"/>
    </row>
    <row r="945" ht="13.5" customHeight="1">
      <c r="A945" s="1"/>
      <c r="B945" s="1"/>
      <c r="C945" s="1"/>
      <c r="D945" s="1"/>
    </row>
    <row r="946" ht="13.5" customHeight="1">
      <c r="A946" s="1"/>
      <c r="B946" s="1"/>
      <c r="C946" s="1"/>
      <c r="D946" s="1"/>
    </row>
    <row r="947" ht="13.5" customHeight="1">
      <c r="A947" s="1"/>
      <c r="B947" s="1"/>
      <c r="C947" s="1"/>
      <c r="D947" s="1"/>
    </row>
    <row r="948" ht="13.5" customHeight="1">
      <c r="A948" s="1"/>
      <c r="B948" s="1"/>
      <c r="C948" s="1"/>
      <c r="D948" s="1"/>
    </row>
    <row r="949" ht="13.5" customHeight="1">
      <c r="A949" s="1"/>
      <c r="B949" s="1"/>
      <c r="C949" s="1"/>
      <c r="D949" s="1"/>
    </row>
    <row r="950" ht="13.5" customHeight="1">
      <c r="A950" s="1"/>
      <c r="B950" s="1"/>
      <c r="C950" s="1"/>
      <c r="D950" s="1"/>
    </row>
    <row r="951" ht="13.5" customHeight="1">
      <c r="A951" s="1"/>
      <c r="B951" s="1"/>
      <c r="C951" s="1"/>
      <c r="D951" s="1"/>
    </row>
    <row r="952" ht="13.5" customHeight="1">
      <c r="A952" s="1"/>
      <c r="B952" s="1"/>
      <c r="C952" s="1"/>
      <c r="D952" s="1"/>
    </row>
    <row r="953" ht="13.5" customHeight="1">
      <c r="A953" s="1"/>
      <c r="B953" s="1"/>
      <c r="C953" s="1"/>
      <c r="D953" s="1"/>
    </row>
    <row r="954" ht="13.5" customHeight="1">
      <c r="A954" s="1"/>
      <c r="B954" s="1"/>
      <c r="C954" s="1"/>
      <c r="D954" s="1"/>
    </row>
    <row r="955" ht="13.5" customHeight="1">
      <c r="A955" s="1"/>
      <c r="B955" s="1"/>
      <c r="C955" s="1"/>
      <c r="D955" s="1"/>
    </row>
    <row r="956" ht="13.5" customHeight="1">
      <c r="A956" s="1"/>
      <c r="B956" s="1"/>
      <c r="C956" s="1"/>
      <c r="D956" s="1"/>
    </row>
    <row r="957" ht="13.5" customHeight="1">
      <c r="A957" s="1"/>
      <c r="B957" s="1"/>
      <c r="C957" s="1"/>
      <c r="D957" s="1"/>
    </row>
    <row r="958" ht="13.5" customHeight="1">
      <c r="A958" s="1"/>
      <c r="B958" s="1"/>
      <c r="C958" s="1"/>
      <c r="D958" s="1"/>
    </row>
    <row r="959" ht="13.5" customHeight="1">
      <c r="A959" s="1"/>
      <c r="B959" s="1"/>
      <c r="C959" s="1"/>
      <c r="D959" s="1"/>
    </row>
    <row r="960" ht="13.5" customHeight="1">
      <c r="A960" s="1"/>
      <c r="B960" s="1"/>
      <c r="C960" s="1"/>
      <c r="D960" s="1"/>
    </row>
    <row r="961" ht="13.5" customHeight="1">
      <c r="A961" s="1"/>
      <c r="B961" s="1"/>
      <c r="C961" s="1"/>
      <c r="D961" s="1"/>
    </row>
    <row r="962" ht="13.5" customHeight="1">
      <c r="A962" s="1"/>
      <c r="B962" s="1"/>
      <c r="C962" s="1"/>
      <c r="D962" s="1"/>
    </row>
    <row r="963" ht="13.5" customHeight="1">
      <c r="A963" s="1"/>
      <c r="B963" s="1"/>
      <c r="C963" s="1"/>
      <c r="D963" s="1"/>
    </row>
    <row r="964" ht="13.5" customHeight="1">
      <c r="A964" s="1"/>
      <c r="B964" s="1"/>
      <c r="C964" s="1"/>
      <c r="D964" s="1"/>
    </row>
    <row r="965" ht="13.5" customHeight="1">
      <c r="A965" s="1"/>
      <c r="B965" s="1"/>
      <c r="C965" s="1"/>
      <c r="D965" s="1"/>
    </row>
    <row r="966" ht="13.5" customHeight="1">
      <c r="A966" s="1"/>
      <c r="B966" s="1"/>
      <c r="C966" s="1"/>
      <c r="D966" s="1"/>
    </row>
    <row r="967" ht="13.5" customHeight="1">
      <c r="A967" s="1"/>
      <c r="B967" s="1"/>
      <c r="C967" s="1"/>
      <c r="D967" s="1"/>
    </row>
    <row r="968" ht="13.5" customHeight="1">
      <c r="A968" s="1"/>
      <c r="B968" s="1"/>
      <c r="C968" s="1"/>
      <c r="D968" s="1"/>
    </row>
    <row r="969" ht="13.5" customHeight="1">
      <c r="A969" s="1"/>
      <c r="B969" s="1"/>
      <c r="C969" s="1"/>
      <c r="D969" s="1"/>
    </row>
    <row r="970" ht="13.5" customHeight="1">
      <c r="A970" s="1"/>
      <c r="B970" s="1"/>
      <c r="C970" s="1"/>
      <c r="D970" s="1"/>
    </row>
    <row r="971" ht="13.5" customHeight="1">
      <c r="A971" s="1"/>
      <c r="B971" s="1"/>
      <c r="C971" s="1"/>
      <c r="D971" s="1"/>
    </row>
    <row r="972" ht="13.5" customHeight="1">
      <c r="A972" s="1"/>
      <c r="B972" s="1"/>
      <c r="C972" s="1"/>
      <c r="D972" s="1"/>
    </row>
    <row r="973" ht="13.5" customHeight="1">
      <c r="A973" s="1"/>
      <c r="B973" s="1"/>
      <c r="C973" s="1"/>
      <c r="D973" s="1"/>
    </row>
    <row r="974" ht="13.5" customHeight="1">
      <c r="A974" s="1"/>
      <c r="B974" s="1"/>
      <c r="C974" s="1"/>
      <c r="D974" s="1"/>
    </row>
    <row r="975" ht="13.5" customHeight="1">
      <c r="A975" s="1"/>
      <c r="B975" s="1"/>
      <c r="C975" s="1"/>
      <c r="D975" s="1"/>
    </row>
    <row r="976" ht="13.5" customHeight="1">
      <c r="A976" s="1"/>
      <c r="B976" s="1"/>
      <c r="C976" s="1"/>
      <c r="D976" s="1"/>
    </row>
    <row r="977" ht="13.5" customHeight="1">
      <c r="A977" s="1"/>
      <c r="B977" s="1"/>
      <c r="C977" s="1"/>
      <c r="D977" s="1"/>
    </row>
    <row r="978" ht="13.5" customHeight="1">
      <c r="A978" s="1"/>
      <c r="B978" s="1"/>
      <c r="C978" s="1"/>
      <c r="D978" s="1"/>
    </row>
    <row r="979" ht="13.5" customHeight="1">
      <c r="A979" s="1"/>
      <c r="B979" s="1"/>
      <c r="C979" s="1"/>
      <c r="D979" s="1"/>
    </row>
    <row r="980" ht="13.5" customHeight="1">
      <c r="A980" s="1"/>
      <c r="B980" s="1"/>
      <c r="C980" s="1"/>
      <c r="D980" s="1"/>
    </row>
    <row r="981" ht="13.5" customHeight="1">
      <c r="A981" s="1"/>
      <c r="B981" s="1"/>
      <c r="C981" s="1"/>
      <c r="D981" s="1"/>
    </row>
    <row r="982" ht="13.5" customHeight="1">
      <c r="A982" s="1"/>
      <c r="B982" s="1"/>
      <c r="C982" s="1"/>
      <c r="D982" s="1"/>
    </row>
    <row r="983" ht="13.5" customHeight="1">
      <c r="A983" s="1"/>
      <c r="B983" s="1"/>
      <c r="C983" s="1"/>
      <c r="D983" s="1"/>
    </row>
    <row r="984" ht="13.5" customHeight="1">
      <c r="A984" s="1"/>
      <c r="B984" s="1"/>
      <c r="C984" s="1"/>
      <c r="D984" s="1"/>
    </row>
    <row r="985" ht="13.5" customHeight="1">
      <c r="A985" s="1"/>
      <c r="B985" s="1"/>
      <c r="C985" s="1"/>
      <c r="D985" s="1"/>
    </row>
    <row r="986" ht="13.5" customHeight="1">
      <c r="A986" s="1"/>
      <c r="B986" s="1"/>
      <c r="C986" s="1"/>
      <c r="D986" s="1"/>
    </row>
    <row r="987" ht="13.5" customHeight="1">
      <c r="A987" s="1"/>
      <c r="B987" s="1"/>
      <c r="C987" s="1"/>
      <c r="D987" s="1"/>
    </row>
    <row r="988" ht="13.5" customHeight="1">
      <c r="A988" s="1"/>
      <c r="B988" s="1"/>
      <c r="C988" s="1"/>
      <c r="D988" s="1"/>
    </row>
    <row r="989" ht="13.5" customHeight="1">
      <c r="A989" s="1"/>
      <c r="B989" s="1"/>
      <c r="C989" s="1"/>
      <c r="D989" s="1"/>
    </row>
    <row r="990" ht="13.5" customHeight="1">
      <c r="A990" s="1"/>
      <c r="B990" s="1"/>
      <c r="C990" s="1"/>
      <c r="D990" s="1"/>
    </row>
    <row r="991" ht="13.5" customHeight="1">
      <c r="A991" s="1"/>
      <c r="B991" s="1"/>
      <c r="C991" s="1"/>
      <c r="D991" s="1"/>
    </row>
    <row r="992" ht="13.5" customHeight="1">
      <c r="A992" s="1"/>
      <c r="B992" s="1"/>
      <c r="C992" s="1"/>
      <c r="D992" s="1"/>
    </row>
    <row r="993" ht="13.5" customHeight="1">
      <c r="A993" s="1"/>
      <c r="B993" s="1"/>
      <c r="C993" s="1"/>
      <c r="D993" s="1"/>
    </row>
    <row r="994" ht="13.5" customHeight="1">
      <c r="A994" s="1"/>
      <c r="B994" s="1"/>
      <c r="C994" s="1"/>
      <c r="D994" s="1"/>
    </row>
    <row r="995" ht="13.5" customHeight="1">
      <c r="A995" s="1"/>
      <c r="B995" s="1"/>
      <c r="C995" s="1"/>
      <c r="D995" s="1"/>
    </row>
    <row r="996" ht="13.5" customHeight="1">
      <c r="A996" s="1"/>
      <c r="B996" s="1"/>
      <c r="C996" s="1"/>
      <c r="D996" s="1"/>
    </row>
    <row r="997" ht="13.5" customHeight="1">
      <c r="A997" s="1"/>
      <c r="B997" s="1"/>
      <c r="C997" s="1"/>
      <c r="D997" s="1"/>
    </row>
    <row r="998" ht="13.5" customHeight="1">
      <c r="A998" s="1"/>
      <c r="B998" s="1"/>
      <c r="C998" s="1"/>
      <c r="D998" s="1"/>
    </row>
    <row r="999" ht="13.5" customHeight="1">
      <c r="A999" s="1"/>
      <c r="B999" s="1"/>
      <c r="C999" s="1"/>
      <c r="D999" s="1"/>
    </row>
    <row r="1000" ht="13.5" customHeight="1">
      <c r="A1000" s="1"/>
      <c r="B1000" s="1"/>
      <c r="C1000" s="1"/>
      <c r="D1000" s="1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6.29"/>
    <col customWidth="1" min="3" max="3" width="20.86"/>
    <col customWidth="1" min="4" max="4" width="18.86"/>
    <col customWidth="1" min="5" max="26" width="12.71"/>
  </cols>
  <sheetData>
    <row r="1" ht="13.5" customHeight="1">
      <c r="A1" s="1" t="s">
        <v>105</v>
      </c>
      <c r="B1" s="43" t="s">
        <v>107</v>
      </c>
      <c r="C1" s="1" t="s">
        <v>108</v>
      </c>
      <c r="D1" s="1" t="s">
        <v>618</v>
      </c>
    </row>
    <row r="2" ht="13.5" customHeight="1">
      <c r="A2" s="1" t="s">
        <v>199</v>
      </c>
      <c r="B2" s="43">
        <v>4509876.0</v>
      </c>
      <c r="C2" s="43">
        <v>3314759.0</v>
      </c>
      <c r="D2" s="1">
        <v>199.0</v>
      </c>
    </row>
    <row r="3" ht="13.5" customHeight="1">
      <c r="A3" s="1" t="s">
        <v>195</v>
      </c>
      <c r="B3" s="43">
        <v>4234567.0</v>
      </c>
      <c r="C3" s="43">
        <v>3112407.0</v>
      </c>
      <c r="D3" s="1">
        <v>196.0</v>
      </c>
    </row>
    <row r="4" ht="13.5" customHeight="1">
      <c r="A4" s="1" t="s">
        <v>123</v>
      </c>
      <c r="B4" s="43">
        <v>5123987.0</v>
      </c>
      <c r="C4" s="43">
        <v>3381832.0</v>
      </c>
      <c r="D4" s="1">
        <v>195.0</v>
      </c>
    </row>
    <row r="5" ht="13.5" customHeight="1">
      <c r="A5" s="1" t="s">
        <v>211</v>
      </c>
      <c r="B5" s="43">
        <v>4234567.0</v>
      </c>
      <c r="C5" s="43">
        <v>3112407.0</v>
      </c>
      <c r="D5" s="1">
        <v>195.0</v>
      </c>
    </row>
    <row r="6" ht="13.5" customHeight="1">
      <c r="A6" s="1" t="s">
        <v>117</v>
      </c>
      <c r="B6" s="43">
        <v>4509876.0</v>
      </c>
      <c r="C6" s="43">
        <v>2976518.0</v>
      </c>
      <c r="D6" s="1">
        <v>192.0</v>
      </c>
    </row>
    <row r="7" ht="13.5" customHeight="1">
      <c r="A7" s="1" t="s">
        <v>190</v>
      </c>
      <c r="B7" s="43">
        <v>3987612.0</v>
      </c>
      <c r="C7" s="43">
        <v>2930895.0</v>
      </c>
      <c r="D7" s="1">
        <v>192.0</v>
      </c>
    </row>
    <row r="8" ht="13.5" customHeight="1">
      <c r="A8" s="1" t="s">
        <v>206</v>
      </c>
      <c r="B8" s="43">
        <v>3987612.0</v>
      </c>
      <c r="C8" s="43">
        <v>2930895.0</v>
      </c>
      <c r="D8" s="1">
        <v>191.0</v>
      </c>
    </row>
    <row r="9" ht="13.5" customHeight="1">
      <c r="A9" s="1" t="s">
        <v>113</v>
      </c>
      <c r="B9" s="43">
        <v>5234012.0</v>
      </c>
      <c r="C9" s="43">
        <v>3454448.0</v>
      </c>
      <c r="D9" s="1">
        <v>189.0</v>
      </c>
    </row>
    <row r="10" ht="13.5" customHeight="1">
      <c r="A10" s="1" t="s">
        <v>194</v>
      </c>
      <c r="B10" s="43">
        <v>3456789.0</v>
      </c>
      <c r="C10" s="43">
        <v>2540740.0</v>
      </c>
      <c r="D10" s="1">
        <v>189.0</v>
      </c>
    </row>
    <row r="11" ht="13.5" customHeight="1">
      <c r="A11" s="1" t="s">
        <v>210</v>
      </c>
      <c r="B11" s="43">
        <v>3456789.0</v>
      </c>
      <c r="C11" s="43">
        <v>2540740.0</v>
      </c>
      <c r="D11" s="1">
        <v>188.0</v>
      </c>
    </row>
    <row r="12" ht="13.5" customHeight="1">
      <c r="A12" s="1" t="s">
        <v>208</v>
      </c>
      <c r="B12" s="43">
        <v>5123987.0</v>
      </c>
      <c r="C12" s="43">
        <v>3766130.0</v>
      </c>
      <c r="D12" s="1">
        <v>186.0</v>
      </c>
    </row>
    <row r="13" ht="13.5" customHeight="1">
      <c r="A13" s="1" t="s">
        <v>192</v>
      </c>
      <c r="B13" s="43">
        <v>5123987.0</v>
      </c>
      <c r="C13" s="43">
        <v>3766130.0</v>
      </c>
      <c r="D13" s="1">
        <v>185.0</v>
      </c>
    </row>
    <row r="14" ht="13.5" customHeight="1">
      <c r="A14" s="1" t="s">
        <v>202</v>
      </c>
      <c r="B14" s="43">
        <v>4987612.0</v>
      </c>
      <c r="C14" s="43">
        <v>3665895.0</v>
      </c>
      <c r="D14" s="1">
        <v>184.0</v>
      </c>
    </row>
    <row r="15" ht="13.5" customHeight="1">
      <c r="A15" s="1" t="s">
        <v>121</v>
      </c>
      <c r="B15" s="43">
        <v>4234567.0</v>
      </c>
      <c r="C15" s="43">
        <v>2794814.0</v>
      </c>
      <c r="D15" s="1">
        <v>181.0</v>
      </c>
    </row>
    <row r="16" ht="13.5" customHeight="1">
      <c r="A16" s="1" t="s">
        <v>197</v>
      </c>
      <c r="B16" s="43">
        <v>3678901.0</v>
      </c>
      <c r="C16" s="43">
        <v>2703992.0</v>
      </c>
      <c r="D16" s="1">
        <v>181.0</v>
      </c>
    </row>
    <row r="17" ht="13.5" customHeight="1">
      <c r="A17" s="1" t="s">
        <v>204</v>
      </c>
      <c r="B17" s="43">
        <v>3654321.0</v>
      </c>
      <c r="C17" s="43">
        <v>2685926.0</v>
      </c>
      <c r="D17" s="1">
        <v>180.0</v>
      </c>
    </row>
    <row r="18" ht="13.5" customHeight="1">
      <c r="A18" s="1" t="s">
        <v>111</v>
      </c>
      <c r="B18" s="43">
        <v>4123987.0</v>
      </c>
      <c r="C18" s="43">
        <v>2721832.0</v>
      </c>
      <c r="D18" s="1">
        <v>178.0</v>
      </c>
    </row>
    <row r="19" ht="13.5" customHeight="1">
      <c r="A19" s="1" t="s">
        <v>189</v>
      </c>
      <c r="B19" s="43">
        <v>2876543.0</v>
      </c>
      <c r="C19" s="43">
        <v>2114259.0</v>
      </c>
      <c r="D19" s="1">
        <v>178.0</v>
      </c>
    </row>
    <row r="20" ht="13.5" customHeight="1">
      <c r="A20" s="1" t="s">
        <v>200</v>
      </c>
      <c r="B20" s="43">
        <v>3210987.0</v>
      </c>
      <c r="C20" s="43">
        <v>2360075.0</v>
      </c>
      <c r="D20" s="1">
        <v>177.0</v>
      </c>
    </row>
    <row r="21" ht="13.5" customHeight="1">
      <c r="A21" s="1" t="s">
        <v>216</v>
      </c>
      <c r="B21" s="43">
        <v>456789.0</v>
      </c>
      <c r="C21" s="43">
        <v>335740.0</v>
      </c>
      <c r="D21" s="1">
        <v>177.0</v>
      </c>
    </row>
    <row r="22" ht="13.5" customHeight="1">
      <c r="A22" s="1" t="s">
        <v>205</v>
      </c>
      <c r="B22" s="43">
        <v>2765432.0</v>
      </c>
      <c r="C22" s="43">
        <v>2032593.0</v>
      </c>
      <c r="D22" s="1">
        <v>175.0</v>
      </c>
    </row>
    <row r="23" ht="13.5" customHeight="1">
      <c r="A23" s="1" t="s">
        <v>119</v>
      </c>
      <c r="B23" s="43">
        <v>3678901.0</v>
      </c>
      <c r="C23" s="43">
        <v>2428075.0</v>
      </c>
      <c r="D23" s="1">
        <v>174.0</v>
      </c>
    </row>
    <row r="24" ht="13.5" customHeight="1">
      <c r="A24" s="1" t="s">
        <v>198</v>
      </c>
      <c r="B24" s="43">
        <v>2765432.0</v>
      </c>
      <c r="C24" s="43">
        <v>2032593.0</v>
      </c>
      <c r="D24" s="1">
        <v>174.0</v>
      </c>
    </row>
    <row r="25" ht="13.5" customHeight="1">
      <c r="A25" s="1" t="s">
        <v>225</v>
      </c>
      <c r="B25" s="43">
        <v>367890.0</v>
      </c>
      <c r="C25" s="43">
        <v>270400.0</v>
      </c>
      <c r="D25" s="1">
        <v>174.0</v>
      </c>
    </row>
    <row r="26" ht="13.5" customHeight="1">
      <c r="A26" s="1" t="s">
        <v>209</v>
      </c>
      <c r="B26" s="43">
        <v>2345678.0</v>
      </c>
      <c r="C26" s="43">
        <v>1724073.0</v>
      </c>
      <c r="D26" s="1">
        <v>173.0</v>
      </c>
    </row>
    <row r="27" ht="13.5" customHeight="1">
      <c r="A27" s="1" t="s">
        <v>203</v>
      </c>
      <c r="B27" s="43">
        <v>2345678.0</v>
      </c>
      <c r="C27" s="43">
        <v>1724073.0</v>
      </c>
      <c r="D27" s="1">
        <v>172.0</v>
      </c>
    </row>
    <row r="28" ht="13.5" customHeight="1">
      <c r="A28" s="1" t="s">
        <v>220</v>
      </c>
      <c r="B28" s="43">
        <v>398761.0</v>
      </c>
      <c r="C28" s="43">
        <v>293089.0</v>
      </c>
      <c r="D28" s="1">
        <v>172.0</v>
      </c>
    </row>
    <row r="29" ht="13.5" customHeight="1">
      <c r="A29" s="1" t="s">
        <v>193</v>
      </c>
      <c r="B29" s="43">
        <v>2345678.0</v>
      </c>
      <c r="C29" s="43">
        <v>1724073.0</v>
      </c>
      <c r="D29" s="1">
        <v>171.0</v>
      </c>
    </row>
    <row r="30" ht="13.5" customHeight="1">
      <c r="A30" s="1" t="s">
        <v>245</v>
      </c>
      <c r="B30" s="43">
        <v>345210.0</v>
      </c>
      <c r="C30" s="43">
        <v>253730.0</v>
      </c>
      <c r="D30" s="1">
        <v>171.0</v>
      </c>
    </row>
    <row r="31" ht="13.5" customHeight="1">
      <c r="A31" s="1" t="s">
        <v>235</v>
      </c>
      <c r="B31" s="43">
        <v>345210.0</v>
      </c>
      <c r="C31" s="43">
        <v>253730.0</v>
      </c>
      <c r="D31" s="1">
        <v>170.0</v>
      </c>
    </row>
    <row r="32" ht="13.5" customHeight="1">
      <c r="A32" s="1" t="s">
        <v>214</v>
      </c>
      <c r="B32" s="43">
        <v>345678.0</v>
      </c>
      <c r="C32" s="43">
        <v>254073.0</v>
      </c>
      <c r="D32" s="1">
        <v>169.0</v>
      </c>
    </row>
    <row r="33" ht="13.5" customHeight="1">
      <c r="A33" s="1" t="s">
        <v>115</v>
      </c>
      <c r="B33" s="43">
        <v>3987612.0</v>
      </c>
      <c r="C33" s="43">
        <v>2631824.0</v>
      </c>
      <c r="D33" s="1">
        <v>167.0</v>
      </c>
    </row>
    <row r="34" ht="13.5" customHeight="1">
      <c r="A34" s="1" t="s">
        <v>229</v>
      </c>
      <c r="B34" s="43">
        <v>312987.0</v>
      </c>
      <c r="C34" s="43">
        <v>230045.0</v>
      </c>
      <c r="D34" s="1">
        <v>167.0</v>
      </c>
    </row>
    <row r="35" ht="13.5" customHeight="1">
      <c r="A35" s="1" t="s">
        <v>239</v>
      </c>
      <c r="B35" s="43">
        <v>312345.0</v>
      </c>
      <c r="C35" s="43">
        <v>229573.0</v>
      </c>
      <c r="D35" s="1">
        <v>166.0</v>
      </c>
    </row>
    <row r="36" ht="13.5" customHeight="1">
      <c r="A36" s="1" t="s">
        <v>191</v>
      </c>
      <c r="B36" s="43">
        <v>1765432.0</v>
      </c>
      <c r="C36" s="43">
        <v>1297593.0</v>
      </c>
      <c r="D36" s="1">
        <v>165.0</v>
      </c>
    </row>
    <row r="37" ht="13.5" customHeight="1">
      <c r="A37" s="1" t="s">
        <v>222</v>
      </c>
      <c r="B37" s="43">
        <v>321098.0</v>
      </c>
      <c r="C37" s="43">
        <v>236007.0</v>
      </c>
      <c r="D37" s="1">
        <v>165.0</v>
      </c>
    </row>
    <row r="38" ht="13.5" customHeight="1">
      <c r="A38" s="1" t="s">
        <v>207</v>
      </c>
      <c r="B38" s="43">
        <v>1876543.0</v>
      </c>
      <c r="C38" s="43">
        <v>1379259.0</v>
      </c>
      <c r="D38" s="1">
        <v>164.0</v>
      </c>
    </row>
    <row r="39" ht="13.5" customHeight="1">
      <c r="A39" s="1" t="s">
        <v>233</v>
      </c>
      <c r="B39" s="43">
        <v>298761.0</v>
      </c>
      <c r="C39" s="43">
        <v>219589.0</v>
      </c>
      <c r="D39" s="1">
        <v>164.0</v>
      </c>
    </row>
    <row r="40" ht="13.5" customHeight="1">
      <c r="A40" s="1" t="s">
        <v>201</v>
      </c>
      <c r="B40" s="43">
        <v>1876543.0</v>
      </c>
      <c r="C40" s="43">
        <v>1379259.0</v>
      </c>
      <c r="D40" s="1">
        <v>163.0</v>
      </c>
    </row>
    <row r="41" ht="13.5" customHeight="1">
      <c r="A41" s="1" t="s">
        <v>243</v>
      </c>
      <c r="B41" s="43">
        <v>298761.0</v>
      </c>
      <c r="C41" s="43">
        <v>219589.0</v>
      </c>
      <c r="D41" s="1">
        <v>163.0</v>
      </c>
    </row>
    <row r="42" ht="13.5" customHeight="1">
      <c r="A42" s="1" t="s">
        <v>196</v>
      </c>
      <c r="B42" s="43">
        <v>1987654.0</v>
      </c>
      <c r="C42" s="43">
        <v>1460926.0</v>
      </c>
      <c r="D42" s="1">
        <v>162.0</v>
      </c>
    </row>
    <row r="43" ht="13.5" customHeight="1">
      <c r="A43" s="1" t="s">
        <v>227</v>
      </c>
      <c r="B43" s="43">
        <v>289765.0</v>
      </c>
      <c r="C43" s="43">
        <v>212977.0</v>
      </c>
      <c r="D43" s="1">
        <v>162.0</v>
      </c>
    </row>
    <row r="44" ht="13.5" customHeight="1">
      <c r="A44" s="1" t="s">
        <v>212</v>
      </c>
      <c r="B44" s="43">
        <v>1987654.0</v>
      </c>
      <c r="C44" s="43">
        <v>1460926.0</v>
      </c>
      <c r="D44" s="1">
        <v>161.0</v>
      </c>
    </row>
    <row r="45" ht="13.5" customHeight="1">
      <c r="A45" s="1" t="s">
        <v>218</v>
      </c>
      <c r="B45" s="43">
        <v>287654.0</v>
      </c>
      <c r="C45" s="43">
        <v>211426.0</v>
      </c>
      <c r="D45" s="1">
        <v>161.0</v>
      </c>
    </row>
    <row r="46" ht="13.5" customHeight="1">
      <c r="A46" s="1" t="s">
        <v>237</v>
      </c>
      <c r="B46" s="43">
        <v>278901.0</v>
      </c>
      <c r="C46" s="43">
        <v>204992.0</v>
      </c>
      <c r="D46" s="1">
        <v>160.0</v>
      </c>
    </row>
    <row r="47" ht="13.5" customHeight="1">
      <c r="A47" s="1" t="s">
        <v>231</v>
      </c>
      <c r="B47" s="43">
        <v>276543.0</v>
      </c>
      <c r="C47" s="43">
        <v>203259.0</v>
      </c>
      <c r="D47" s="1">
        <v>159.0</v>
      </c>
    </row>
    <row r="48" ht="13.5" customHeight="1">
      <c r="A48" s="1" t="s">
        <v>247</v>
      </c>
      <c r="B48" s="43">
        <v>278901.0</v>
      </c>
      <c r="C48" s="43">
        <v>204992.0</v>
      </c>
      <c r="D48" s="1">
        <v>159.0</v>
      </c>
    </row>
    <row r="49" ht="13.5" customHeight="1">
      <c r="A49" s="1" t="s">
        <v>224</v>
      </c>
      <c r="B49" s="43">
        <v>254321.0</v>
      </c>
      <c r="C49" s="43">
        <v>186926.0</v>
      </c>
      <c r="D49" s="1">
        <v>158.0</v>
      </c>
    </row>
    <row r="50" ht="13.5" customHeight="1">
      <c r="A50" s="1" t="s">
        <v>241</v>
      </c>
      <c r="B50" s="43">
        <v>276543.0</v>
      </c>
      <c r="C50" s="43">
        <v>203259.0</v>
      </c>
      <c r="D50" s="1">
        <v>157.0</v>
      </c>
    </row>
    <row r="51" ht="13.5" customHeight="1">
      <c r="A51" s="1" t="s">
        <v>109</v>
      </c>
      <c r="B51" s="43">
        <v>3456789.0</v>
      </c>
      <c r="C51" s="43">
        <v>2281481.0</v>
      </c>
      <c r="D51" s="1">
        <v>156.0</v>
      </c>
    </row>
    <row r="52" ht="13.5" customHeight="1">
      <c r="A52" s="1" t="s">
        <v>213</v>
      </c>
      <c r="B52" s="43">
        <v>234567.0</v>
      </c>
      <c r="C52" s="43">
        <v>172407.0</v>
      </c>
      <c r="D52" s="1">
        <v>154.0</v>
      </c>
    </row>
    <row r="53" ht="13.5" customHeight="1">
      <c r="A53" s="1" t="s">
        <v>221</v>
      </c>
      <c r="B53" s="43">
        <v>210987.0</v>
      </c>
      <c r="C53" s="43">
        <v>155075.0</v>
      </c>
      <c r="D53" s="1">
        <v>152.0</v>
      </c>
    </row>
    <row r="54" ht="13.5" customHeight="1">
      <c r="A54" s="1" t="s">
        <v>248</v>
      </c>
      <c r="B54" s="43">
        <v>199876.0</v>
      </c>
      <c r="C54" s="43">
        <v>146909.0</v>
      </c>
      <c r="D54" s="1">
        <v>152.0</v>
      </c>
    </row>
    <row r="55" ht="13.5" customHeight="1">
      <c r="A55" s="1" t="s">
        <v>238</v>
      </c>
      <c r="B55" s="43">
        <v>199876.0</v>
      </c>
      <c r="C55" s="43">
        <v>146909.0</v>
      </c>
      <c r="D55" s="1">
        <v>151.0</v>
      </c>
    </row>
    <row r="56" ht="13.5" customHeight="1">
      <c r="A56" s="1" t="s">
        <v>228</v>
      </c>
      <c r="B56" s="43">
        <v>198543.0</v>
      </c>
      <c r="C56" s="43">
        <v>145929.0</v>
      </c>
      <c r="D56" s="1">
        <v>150.0</v>
      </c>
    </row>
    <row r="57" ht="13.5" customHeight="1">
      <c r="A57" s="1" t="s">
        <v>308</v>
      </c>
      <c r="B57" s="43">
        <v>5123987.0</v>
      </c>
      <c r="C57" s="43">
        <v>3586791.0</v>
      </c>
      <c r="D57" s="1">
        <v>150.0</v>
      </c>
    </row>
    <row r="58" ht="13.5" customHeight="1">
      <c r="A58" s="1" t="s">
        <v>217</v>
      </c>
      <c r="B58" s="43">
        <v>198765.0</v>
      </c>
      <c r="C58" s="43">
        <v>146092.0</v>
      </c>
      <c r="D58" s="1">
        <v>149.0</v>
      </c>
    </row>
    <row r="59" ht="13.5" customHeight="1">
      <c r="A59" s="1" t="s">
        <v>244</v>
      </c>
      <c r="B59" s="43">
        <v>187654.0</v>
      </c>
      <c r="C59" s="43">
        <v>137926.0</v>
      </c>
      <c r="D59" s="1">
        <v>149.0</v>
      </c>
    </row>
    <row r="60" ht="13.5" customHeight="1">
      <c r="A60" s="1" t="s">
        <v>292</v>
      </c>
      <c r="B60" s="43">
        <v>5123987.0</v>
      </c>
      <c r="C60" s="43">
        <v>3586791.0</v>
      </c>
      <c r="D60" s="1">
        <v>149.0</v>
      </c>
    </row>
    <row r="61" ht="13.5" customHeight="1">
      <c r="A61" s="1" t="s">
        <v>315</v>
      </c>
      <c r="B61" s="43">
        <v>4509876.0</v>
      </c>
      <c r="C61" s="43">
        <v>3156913.0</v>
      </c>
      <c r="D61" s="1">
        <v>149.0</v>
      </c>
    </row>
    <row r="62" ht="13.5" customHeight="1">
      <c r="A62" s="1" t="s">
        <v>465</v>
      </c>
      <c r="B62" s="43">
        <v>4234567.0</v>
      </c>
      <c r="C62" s="43">
        <v>2667777.0</v>
      </c>
      <c r="D62" s="1">
        <v>149.0</v>
      </c>
    </row>
    <row r="63" ht="13.5" customHeight="1">
      <c r="A63" s="1" t="s">
        <v>234</v>
      </c>
      <c r="B63" s="43">
        <v>187654.0</v>
      </c>
      <c r="C63" s="43">
        <v>137926.0</v>
      </c>
      <c r="D63" s="1">
        <v>148.0</v>
      </c>
    </row>
    <row r="64" ht="13.5" customHeight="1">
      <c r="A64" s="1" t="s">
        <v>299</v>
      </c>
      <c r="B64" s="43">
        <v>4509876.0</v>
      </c>
      <c r="C64" s="43">
        <v>3156913.0</v>
      </c>
      <c r="D64" s="1">
        <v>148.0</v>
      </c>
    </row>
    <row r="65" ht="13.5" customHeight="1">
      <c r="A65" s="1" t="s">
        <v>460</v>
      </c>
      <c r="B65" s="43">
        <v>3987612.0</v>
      </c>
      <c r="C65" s="43">
        <v>2512196.0</v>
      </c>
      <c r="D65" s="1">
        <v>148.0</v>
      </c>
    </row>
    <row r="66" ht="13.5" customHeight="1">
      <c r="A66" s="1" t="s">
        <v>226</v>
      </c>
      <c r="B66" s="43">
        <v>176543.0</v>
      </c>
      <c r="C66" s="43">
        <v>129759.0</v>
      </c>
      <c r="D66" s="1">
        <v>147.0</v>
      </c>
    </row>
    <row r="67" ht="13.5" customHeight="1">
      <c r="A67" s="1" t="s">
        <v>246</v>
      </c>
      <c r="B67" s="43">
        <v>165432.0</v>
      </c>
      <c r="C67" s="43">
        <v>121593.0</v>
      </c>
      <c r="D67" s="1">
        <v>147.0</v>
      </c>
    </row>
    <row r="68" ht="13.5" customHeight="1">
      <c r="A68" s="1" t="s">
        <v>311</v>
      </c>
      <c r="B68" s="43">
        <v>4234567.0</v>
      </c>
      <c r="C68" s="43">
        <v>2964197.0</v>
      </c>
      <c r="D68" s="1">
        <v>147.0</v>
      </c>
    </row>
    <row r="69" ht="13.5" customHeight="1">
      <c r="A69" s="1" t="s">
        <v>236</v>
      </c>
      <c r="B69" s="43">
        <v>165432.0</v>
      </c>
      <c r="C69" s="43">
        <v>121593.0</v>
      </c>
      <c r="D69" s="1">
        <v>146.0</v>
      </c>
    </row>
    <row r="70" ht="13.5" customHeight="1">
      <c r="A70" s="1" t="s">
        <v>290</v>
      </c>
      <c r="B70" s="43">
        <v>3987612.0</v>
      </c>
      <c r="C70" s="43">
        <v>2791328.0</v>
      </c>
      <c r="D70" s="1">
        <v>146.0</v>
      </c>
    </row>
    <row r="71" ht="13.5" customHeight="1">
      <c r="A71" s="1" t="s">
        <v>469</v>
      </c>
      <c r="B71" s="43">
        <v>4509876.0</v>
      </c>
      <c r="C71" s="43">
        <v>2841222.0</v>
      </c>
      <c r="D71" s="1">
        <v>146.0</v>
      </c>
    </row>
    <row r="72" ht="13.5" customHeight="1">
      <c r="A72" s="1" t="s">
        <v>114</v>
      </c>
      <c r="B72" s="43">
        <v>2765432.0</v>
      </c>
      <c r="C72" s="43">
        <v>1825185.0</v>
      </c>
      <c r="D72" s="1">
        <v>145.0</v>
      </c>
    </row>
    <row r="73" ht="13.5" customHeight="1">
      <c r="A73" s="1" t="s">
        <v>219</v>
      </c>
      <c r="B73" s="43">
        <v>165432.0</v>
      </c>
      <c r="C73" s="43">
        <v>121593.0</v>
      </c>
      <c r="D73" s="1">
        <v>145.0</v>
      </c>
    </row>
    <row r="74" ht="13.5" customHeight="1">
      <c r="A74" s="1" t="s">
        <v>242</v>
      </c>
      <c r="B74" s="43">
        <v>154321.0</v>
      </c>
      <c r="C74" s="43">
        <v>113426.0</v>
      </c>
      <c r="D74" s="1">
        <v>145.0</v>
      </c>
    </row>
    <row r="75" ht="13.5" customHeight="1">
      <c r="A75" s="1" t="s">
        <v>288</v>
      </c>
      <c r="B75" s="43">
        <v>98765.0</v>
      </c>
      <c r="C75" s="43">
        <v>72592.0</v>
      </c>
      <c r="D75" s="1">
        <v>145.0</v>
      </c>
    </row>
    <row r="76" ht="13.5" customHeight="1">
      <c r="A76" s="1" t="s">
        <v>306</v>
      </c>
      <c r="B76" s="43">
        <v>3987612.0</v>
      </c>
      <c r="C76" s="43">
        <v>2791328.0</v>
      </c>
      <c r="D76" s="1">
        <v>145.0</v>
      </c>
    </row>
    <row r="77" ht="13.5" customHeight="1">
      <c r="A77" s="1" t="s">
        <v>232</v>
      </c>
      <c r="B77" s="43">
        <v>154321.0</v>
      </c>
      <c r="C77" s="43">
        <v>113426.0</v>
      </c>
      <c r="D77" s="1">
        <v>144.0</v>
      </c>
    </row>
    <row r="78" ht="13.5" customHeight="1">
      <c r="A78" s="1" t="s">
        <v>270</v>
      </c>
      <c r="B78" s="43">
        <v>98765.0</v>
      </c>
      <c r="C78" s="43">
        <v>72592.0</v>
      </c>
      <c r="D78" s="1">
        <v>144.0</v>
      </c>
    </row>
    <row r="79" ht="13.5" customHeight="1">
      <c r="A79" s="1" t="s">
        <v>295</v>
      </c>
      <c r="B79" s="43">
        <v>4234567.0</v>
      </c>
      <c r="C79" s="43">
        <v>2964197.0</v>
      </c>
      <c r="D79" s="1">
        <v>144.0</v>
      </c>
    </row>
    <row r="80" ht="13.5" customHeight="1">
      <c r="A80" s="1" t="s">
        <v>472</v>
      </c>
      <c r="B80" s="43">
        <v>4987612.0</v>
      </c>
      <c r="C80" s="43">
        <v>3142196.0</v>
      </c>
      <c r="D80" s="1">
        <v>144.0</v>
      </c>
    </row>
    <row r="81" ht="13.5" customHeight="1">
      <c r="A81" s="1" t="s">
        <v>240</v>
      </c>
      <c r="B81" s="43">
        <v>134567.0</v>
      </c>
      <c r="C81" s="43">
        <v>98907.0</v>
      </c>
      <c r="D81" s="1">
        <v>143.0</v>
      </c>
    </row>
    <row r="82" ht="13.5" customHeight="1">
      <c r="A82" s="1" t="s">
        <v>261</v>
      </c>
      <c r="B82" s="43">
        <v>98765.0</v>
      </c>
      <c r="C82" s="43">
        <v>72592.0</v>
      </c>
      <c r="D82" s="1">
        <v>143.0</v>
      </c>
    </row>
    <row r="83" ht="13.5" customHeight="1">
      <c r="A83" s="1" t="s">
        <v>318</v>
      </c>
      <c r="B83" s="43">
        <v>4987612.0</v>
      </c>
      <c r="C83" s="43">
        <v>3491328.0</v>
      </c>
      <c r="D83" s="1">
        <v>143.0</v>
      </c>
    </row>
    <row r="84" ht="13.5" customHeight="1">
      <c r="A84" s="1" t="s">
        <v>462</v>
      </c>
      <c r="B84" s="43">
        <v>5123987.0</v>
      </c>
      <c r="C84" s="43">
        <v>3228112.0</v>
      </c>
      <c r="D84" s="1">
        <v>143.0</v>
      </c>
    </row>
    <row r="85" ht="13.5" customHeight="1">
      <c r="A85" s="1" t="s">
        <v>124</v>
      </c>
      <c r="B85" s="43">
        <v>2543210.0</v>
      </c>
      <c r="C85" s="43">
        <v>1678519.0</v>
      </c>
      <c r="D85" s="1">
        <v>142.0</v>
      </c>
    </row>
    <row r="86" ht="13.5" customHeight="1">
      <c r="A86" s="1" t="s">
        <v>215</v>
      </c>
      <c r="B86" s="43">
        <v>123456.0</v>
      </c>
      <c r="C86" s="43">
        <v>90740.0</v>
      </c>
      <c r="D86" s="1">
        <v>142.0</v>
      </c>
    </row>
    <row r="87" ht="13.5" customHeight="1">
      <c r="A87" s="1" t="s">
        <v>252</v>
      </c>
      <c r="B87" s="43">
        <v>98765.0</v>
      </c>
      <c r="C87" s="43">
        <v>72592.0</v>
      </c>
      <c r="D87" s="1">
        <v>142.0</v>
      </c>
    </row>
    <row r="88" ht="13.5" customHeight="1">
      <c r="A88" s="1" t="s">
        <v>302</v>
      </c>
      <c r="B88" s="43">
        <v>4987612.0</v>
      </c>
      <c r="C88" s="43">
        <v>3491328.0</v>
      </c>
      <c r="D88" s="1">
        <v>142.0</v>
      </c>
    </row>
    <row r="89" ht="13.5" customHeight="1">
      <c r="A89" s="1" t="s">
        <v>223</v>
      </c>
      <c r="B89" s="43">
        <v>143210.0</v>
      </c>
      <c r="C89" s="43">
        <v>105260.0</v>
      </c>
      <c r="D89" s="1">
        <v>141.0</v>
      </c>
    </row>
    <row r="90" ht="13.5" customHeight="1">
      <c r="A90" s="1" t="s">
        <v>279</v>
      </c>
      <c r="B90" s="43">
        <v>98765.0</v>
      </c>
      <c r="C90" s="43">
        <v>72592.0</v>
      </c>
      <c r="D90" s="1">
        <v>141.0</v>
      </c>
    </row>
    <row r="91" ht="13.5" customHeight="1">
      <c r="A91" s="1" t="s">
        <v>294</v>
      </c>
      <c r="B91" s="43">
        <v>3456789.0</v>
      </c>
      <c r="C91" s="43">
        <v>2419752.0</v>
      </c>
      <c r="D91" s="1">
        <v>141.0</v>
      </c>
    </row>
    <row r="92" ht="13.5" customHeight="1">
      <c r="A92" s="1" t="s">
        <v>464</v>
      </c>
      <c r="B92" s="43">
        <v>3456789.0</v>
      </c>
      <c r="C92" s="43">
        <v>2177777.0</v>
      </c>
      <c r="D92" s="1">
        <v>141.0</v>
      </c>
    </row>
    <row r="93" ht="13.5" customHeight="1">
      <c r="A93" s="1" t="s">
        <v>230</v>
      </c>
      <c r="B93" s="43">
        <v>134567.0</v>
      </c>
      <c r="C93" s="43">
        <v>98907.0</v>
      </c>
      <c r="D93" s="1">
        <v>140.0</v>
      </c>
    </row>
    <row r="94" ht="13.5" customHeight="1">
      <c r="A94" s="1" t="s">
        <v>286</v>
      </c>
      <c r="B94" s="43">
        <v>87654.0</v>
      </c>
      <c r="C94" s="43">
        <v>64426.0</v>
      </c>
      <c r="D94" s="1">
        <v>140.0</v>
      </c>
    </row>
    <row r="95" ht="13.5" customHeight="1">
      <c r="A95" s="1" t="s">
        <v>310</v>
      </c>
      <c r="B95" s="43">
        <v>3456789.0</v>
      </c>
      <c r="C95" s="43">
        <v>2419752.0</v>
      </c>
      <c r="D95" s="1">
        <v>140.0</v>
      </c>
    </row>
    <row r="96" ht="13.5" customHeight="1">
      <c r="A96" s="1" t="s">
        <v>120</v>
      </c>
      <c r="B96" s="43">
        <v>2987654.0</v>
      </c>
      <c r="C96" s="43">
        <v>1971851.0</v>
      </c>
      <c r="D96" s="1">
        <v>139.0</v>
      </c>
    </row>
    <row r="97" ht="13.5" customHeight="1">
      <c r="A97" s="1" t="s">
        <v>277</v>
      </c>
      <c r="B97" s="43">
        <v>87654.0</v>
      </c>
      <c r="C97" s="43">
        <v>64426.0</v>
      </c>
      <c r="D97" s="1">
        <v>139.0</v>
      </c>
    </row>
    <row r="98" ht="13.5" customHeight="1">
      <c r="A98" s="1" t="s">
        <v>297</v>
      </c>
      <c r="B98" s="43">
        <v>3678901.0</v>
      </c>
      <c r="C98" s="43">
        <v>2575231.0</v>
      </c>
      <c r="D98" s="1">
        <v>139.0</v>
      </c>
    </row>
    <row r="99" ht="13.5" customHeight="1">
      <c r="A99" s="1" t="s">
        <v>474</v>
      </c>
      <c r="B99" s="43">
        <v>3654321.0</v>
      </c>
      <c r="C99" s="43">
        <v>2302222.0</v>
      </c>
      <c r="D99" s="1">
        <v>139.0</v>
      </c>
    </row>
    <row r="100" ht="13.5" customHeight="1">
      <c r="A100" s="1" t="s">
        <v>268</v>
      </c>
      <c r="B100" s="43">
        <v>87654.0</v>
      </c>
      <c r="C100" s="43">
        <v>64426.0</v>
      </c>
      <c r="D100" s="1">
        <v>138.0</v>
      </c>
    </row>
    <row r="101" ht="13.5" customHeight="1">
      <c r="A101" s="1" t="s">
        <v>304</v>
      </c>
      <c r="B101" s="43">
        <v>3654321.0</v>
      </c>
      <c r="C101" s="43">
        <v>2558025.0</v>
      </c>
      <c r="D101" s="1">
        <v>138.0</v>
      </c>
    </row>
    <row r="102" ht="13.5" customHeight="1">
      <c r="A102" s="1" t="s">
        <v>259</v>
      </c>
      <c r="B102" s="43">
        <v>87654.0</v>
      </c>
      <c r="C102" s="43">
        <v>64426.0</v>
      </c>
      <c r="D102" s="1">
        <v>137.0</v>
      </c>
    </row>
    <row r="103" ht="13.5" customHeight="1">
      <c r="A103" s="1" t="s">
        <v>467</v>
      </c>
      <c r="B103" s="43">
        <v>3678901.0</v>
      </c>
      <c r="C103" s="43">
        <v>2317708.0</v>
      </c>
      <c r="D103" s="1">
        <v>137.0</v>
      </c>
    </row>
    <row r="104" ht="13.5" customHeight="1">
      <c r="A104" s="1" t="s">
        <v>137</v>
      </c>
      <c r="B104" s="43">
        <v>367890.0</v>
      </c>
      <c r="C104" s="43">
        <v>242807.0</v>
      </c>
      <c r="D104" s="1">
        <v>136.0</v>
      </c>
    </row>
    <row r="105" ht="13.5" customHeight="1">
      <c r="A105" s="1" t="s">
        <v>250</v>
      </c>
      <c r="B105" s="43">
        <v>87654.0</v>
      </c>
      <c r="C105" s="43">
        <v>64426.0</v>
      </c>
      <c r="D105" s="1">
        <v>136.0</v>
      </c>
    </row>
    <row r="106" ht="13.5" customHeight="1">
      <c r="A106" s="1" t="s">
        <v>313</v>
      </c>
      <c r="B106" s="43">
        <v>3678901.0</v>
      </c>
      <c r="C106" s="43">
        <v>2575231.0</v>
      </c>
      <c r="D106" s="1">
        <v>136.0</v>
      </c>
    </row>
    <row r="107" ht="13.5" customHeight="1">
      <c r="A107" s="1" t="s">
        <v>300</v>
      </c>
      <c r="B107" s="43">
        <v>3210987.0</v>
      </c>
      <c r="C107" s="43">
        <v>2247691.0</v>
      </c>
      <c r="D107" s="1">
        <v>135.0</v>
      </c>
    </row>
    <row r="108" ht="13.5" customHeight="1">
      <c r="A108" s="1" t="s">
        <v>459</v>
      </c>
      <c r="B108" s="43">
        <v>2876543.0</v>
      </c>
      <c r="C108" s="43">
        <v>1812222.0</v>
      </c>
      <c r="D108" s="1">
        <v>135.0</v>
      </c>
    </row>
    <row r="109" ht="13.5" customHeight="1">
      <c r="A109" s="1" t="s">
        <v>110</v>
      </c>
      <c r="B109" s="43">
        <v>2876543.0</v>
      </c>
      <c r="C109" s="43">
        <v>1898518.0</v>
      </c>
      <c r="D109" s="1">
        <v>134.0</v>
      </c>
    </row>
    <row r="110" ht="13.5" customHeight="1">
      <c r="A110" s="1" t="s">
        <v>283</v>
      </c>
      <c r="B110" s="43">
        <v>76543.0</v>
      </c>
      <c r="C110" s="43">
        <v>56259.0</v>
      </c>
      <c r="D110" s="1">
        <v>134.0</v>
      </c>
    </row>
    <row r="111" ht="13.5" customHeight="1">
      <c r="A111" s="1" t="s">
        <v>316</v>
      </c>
      <c r="B111" s="43">
        <v>3210987.0</v>
      </c>
      <c r="C111" s="43">
        <v>2247691.0</v>
      </c>
      <c r="D111" s="1">
        <v>134.0</v>
      </c>
    </row>
    <row r="112" ht="13.5" customHeight="1">
      <c r="A112" s="1" t="s">
        <v>470</v>
      </c>
      <c r="B112" s="43">
        <v>3210987.0</v>
      </c>
      <c r="C112" s="43">
        <v>2022922.0</v>
      </c>
      <c r="D112" s="1">
        <v>134.0</v>
      </c>
    </row>
    <row r="113" ht="13.5" customHeight="1">
      <c r="A113" s="1" t="s">
        <v>274</v>
      </c>
      <c r="B113" s="43">
        <v>76543.0</v>
      </c>
      <c r="C113" s="43">
        <v>56259.0</v>
      </c>
      <c r="D113" s="1">
        <v>133.0</v>
      </c>
    </row>
    <row r="114" ht="13.5" customHeight="1">
      <c r="A114" s="1" t="s">
        <v>314</v>
      </c>
      <c r="B114" s="43">
        <v>2765432.0</v>
      </c>
      <c r="C114" s="43">
        <v>1935802.0</v>
      </c>
      <c r="D114" s="1">
        <v>133.0</v>
      </c>
    </row>
    <row r="115" ht="13.5" customHeight="1">
      <c r="A115" s="1" t="s">
        <v>265</v>
      </c>
      <c r="B115" s="43">
        <v>76543.0</v>
      </c>
      <c r="C115" s="43">
        <v>56259.0</v>
      </c>
      <c r="D115" s="1">
        <v>132.0</v>
      </c>
    </row>
    <row r="116" ht="13.5" customHeight="1">
      <c r="A116" s="1" t="s">
        <v>289</v>
      </c>
      <c r="B116" s="43">
        <v>2876543.0</v>
      </c>
      <c r="C116" s="43">
        <v>2013580.0</v>
      </c>
      <c r="D116" s="1">
        <v>132.0</v>
      </c>
    </row>
    <row r="117" ht="13.5" customHeight="1">
      <c r="A117" s="1" t="s">
        <v>468</v>
      </c>
      <c r="B117" s="43">
        <v>2765432.0</v>
      </c>
      <c r="C117" s="43">
        <v>1742222.0</v>
      </c>
      <c r="D117" s="1">
        <v>132.0</v>
      </c>
    </row>
    <row r="118" ht="13.5" customHeight="1">
      <c r="A118" s="1" t="s">
        <v>128</v>
      </c>
      <c r="B118" s="43">
        <v>456789.0</v>
      </c>
      <c r="C118" s="43">
        <v>301481.0</v>
      </c>
      <c r="D118" s="1">
        <v>131.0</v>
      </c>
    </row>
    <row r="119" ht="13.5" customHeight="1">
      <c r="A119" s="1" t="s">
        <v>256</v>
      </c>
      <c r="B119" s="43">
        <v>76543.0</v>
      </c>
      <c r="C119" s="43">
        <v>56259.0</v>
      </c>
      <c r="D119" s="1">
        <v>131.0</v>
      </c>
    </row>
    <row r="120" ht="13.5" customHeight="1">
      <c r="A120" s="1" t="s">
        <v>305</v>
      </c>
      <c r="B120" s="43">
        <v>2765432.0</v>
      </c>
      <c r="C120" s="43">
        <v>1935802.0</v>
      </c>
      <c r="D120" s="1">
        <v>131.0</v>
      </c>
    </row>
    <row r="121" ht="13.5" customHeight="1">
      <c r="A121" s="1" t="s">
        <v>322</v>
      </c>
      <c r="B121" s="43">
        <v>456789.0</v>
      </c>
      <c r="C121" s="43">
        <v>319752.0</v>
      </c>
      <c r="D121" s="1">
        <v>131.0</v>
      </c>
    </row>
    <row r="122" ht="13.5" customHeight="1">
      <c r="A122" s="1" t="s">
        <v>478</v>
      </c>
      <c r="B122" s="43">
        <v>456789.0</v>
      </c>
      <c r="C122" s="43">
        <v>287777.0</v>
      </c>
      <c r="D122" s="1">
        <v>131.0</v>
      </c>
    </row>
    <row r="123" ht="13.5" customHeight="1">
      <c r="A123" s="1" t="s">
        <v>298</v>
      </c>
      <c r="B123" s="43">
        <v>2765432.0</v>
      </c>
      <c r="C123" s="43">
        <v>1935802.0</v>
      </c>
      <c r="D123" s="1">
        <v>130.0</v>
      </c>
    </row>
    <row r="124" ht="13.5" customHeight="1">
      <c r="A124" s="1" t="s">
        <v>281</v>
      </c>
      <c r="B124" s="43">
        <v>65432.0</v>
      </c>
      <c r="C124" s="43">
        <v>48093.0</v>
      </c>
      <c r="D124" s="1">
        <v>129.0</v>
      </c>
    </row>
    <row r="125" ht="13.5" customHeight="1">
      <c r="A125" s="1" t="s">
        <v>463</v>
      </c>
      <c r="B125" s="43">
        <v>2345678.0</v>
      </c>
      <c r="C125" s="43">
        <v>1477777.0</v>
      </c>
      <c r="D125" s="1">
        <v>129.0</v>
      </c>
    </row>
    <row r="126" ht="13.5" customHeight="1">
      <c r="A126" s="1" t="s">
        <v>487</v>
      </c>
      <c r="B126" s="43">
        <v>367890.0</v>
      </c>
      <c r="C126" s="43">
        <v>231771.0</v>
      </c>
      <c r="D126" s="1">
        <v>129.0</v>
      </c>
    </row>
    <row r="127" ht="13.5" customHeight="1">
      <c r="A127" s="1" t="s">
        <v>147</v>
      </c>
      <c r="B127" s="43">
        <v>345210.0</v>
      </c>
      <c r="C127" s="43">
        <v>227839.0</v>
      </c>
      <c r="D127" s="1">
        <v>128.0</v>
      </c>
    </row>
    <row r="128" ht="13.5" customHeight="1">
      <c r="A128" s="1" t="s">
        <v>254</v>
      </c>
      <c r="B128" s="43">
        <v>65432.0</v>
      </c>
      <c r="C128" s="43">
        <v>48093.0</v>
      </c>
      <c r="D128" s="1">
        <v>128.0</v>
      </c>
    </row>
    <row r="129" ht="13.5" customHeight="1">
      <c r="A129" s="1" t="s">
        <v>309</v>
      </c>
      <c r="B129" s="43">
        <v>2345678.0</v>
      </c>
      <c r="C129" s="43">
        <v>1641975.0</v>
      </c>
      <c r="D129" s="1">
        <v>128.0</v>
      </c>
    </row>
    <row r="130" ht="13.5" customHeight="1">
      <c r="A130" s="1" t="s">
        <v>473</v>
      </c>
      <c r="B130" s="43">
        <v>2345678.0</v>
      </c>
      <c r="C130" s="43">
        <v>1477777.0</v>
      </c>
      <c r="D130" s="1">
        <v>128.0</v>
      </c>
    </row>
    <row r="131" ht="13.5" customHeight="1">
      <c r="A131" s="1" t="s">
        <v>132</v>
      </c>
      <c r="B131" s="43">
        <v>398761.0</v>
      </c>
      <c r="C131" s="43">
        <v>263182.0</v>
      </c>
      <c r="D131" s="1">
        <v>127.0</v>
      </c>
    </row>
    <row r="132" ht="13.5" customHeight="1">
      <c r="A132" s="1" t="s">
        <v>263</v>
      </c>
      <c r="B132" s="43">
        <v>65432.0</v>
      </c>
      <c r="C132" s="43">
        <v>48093.0</v>
      </c>
      <c r="D132" s="1">
        <v>127.0</v>
      </c>
    </row>
    <row r="133" ht="13.5" customHeight="1">
      <c r="A133" s="1" t="s">
        <v>293</v>
      </c>
      <c r="B133" s="43">
        <v>2345678.0</v>
      </c>
      <c r="C133" s="43">
        <v>1641975.0</v>
      </c>
      <c r="D133" s="1">
        <v>127.0</v>
      </c>
    </row>
    <row r="134" ht="13.5" customHeight="1">
      <c r="A134" s="1" t="s">
        <v>331</v>
      </c>
      <c r="B134" s="43">
        <v>367890.0</v>
      </c>
      <c r="C134" s="43">
        <v>257523.0</v>
      </c>
      <c r="D134" s="1">
        <v>127.0</v>
      </c>
    </row>
    <row r="135" ht="13.5" customHeight="1">
      <c r="A135" s="1" t="s">
        <v>482</v>
      </c>
      <c r="B135" s="43">
        <v>398761.0</v>
      </c>
      <c r="C135" s="43">
        <v>251220.0</v>
      </c>
      <c r="D135" s="1">
        <v>127.0</v>
      </c>
    </row>
    <row r="136" ht="13.5" customHeight="1">
      <c r="A136" s="1" t="s">
        <v>272</v>
      </c>
      <c r="B136" s="43">
        <v>65432.0</v>
      </c>
      <c r="C136" s="43">
        <v>48093.0</v>
      </c>
      <c r="D136" s="1">
        <v>126.0</v>
      </c>
    </row>
    <row r="137" ht="13.5" customHeight="1">
      <c r="A137" s="1" t="s">
        <v>303</v>
      </c>
      <c r="B137" s="43">
        <v>2345678.0</v>
      </c>
      <c r="C137" s="43">
        <v>1641975.0</v>
      </c>
      <c r="D137" s="1">
        <v>126.0</v>
      </c>
    </row>
    <row r="138" ht="13.5" customHeight="1">
      <c r="A138" s="1" t="s">
        <v>497</v>
      </c>
      <c r="B138" s="43">
        <v>345210.0</v>
      </c>
      <c r="C138" s="43">
        <v>217482.0</v>
      </c>
      <c r="D138" s="1">
        <v>126.0</v>
      </c>
    </row>
    <row r="139" ht="13.5" customHeight="1">
      <c r="A139" s="1" t="s">
        <v>258</v>
      </c>
      <c r="B139" s="43">
        <v>56789.0</v>
      </c>
      <c r="C139" s="43">
        <v>41740.0</v>
      </c>
      <c r="D139" s="1">
        <v>125.0</v>
      </c>
    </row>
    <row r="140" ht="13.5" customHeight="1">
      <c r="A140" s="1" t="s">
        <v>326</v>
      </c>
      <c r="B140" s="43">
        <v>398761.0</v>
      </c>
      <c r="C140" s="43">
        <v>279133.0</v>
      </c>
      <c r="D140" s="1">
        <v>125.0</v>
      </c>
    </row>
    <row r="141" ht="13.5" customHeight="1">
      <c r="A141" s="1" t="s">
        <v>476</v>
      </c>
      <c r="B141" s="43">
        <v>345678.0</v>
      </c>
      <c r="C141" s="43">
        <v>217777.0</v>
      </c>
      <c r="D141" s="1">
        <v>125.0</v>
      </c>
    </row>
    <row r="142" ht="13.5" customHeight="1">
      <c r="A142" s="1" t="s">
        <v>141</v>
      </c>
      <c r="B142" s="43">
        <v>312987.0</v>
      </c>
      <c r="C142" s="43">
        <v>206572.0</v>
      </c>
      <c r="D142" s="1">
        <v>124.0</v>
      </c>
    </row>
    <row r="143" ht="13.5" customHeight="1">
      <c r="A143" s="1" t="s">
        <v>267</v>
      </c>
      <c r="B143" s="43">
        <v>56789.0</v>
      </c>
      <c r="C143" s="43">
        <v>41740.0</v>
      </c>
      <c r="D143" s="1">
        <v>124.0</v>
      </c>
    </row>
    <row r="144" ht="13.5" customHeight="1">
      <c r="A144" s="1" t="s">
        <v>351</v>
      </c>
      <c r="B144" s="43">
        <v>345210.0</v>
      </c>
      <c r="C144" s="43">
        <v>241647.0</v>
      </c>
      <c r="D144" s="1">
        <v>124.0</v>
      </c>
    </row>
    <row r="145" ht="13.5" customHeight="1">
      <c r="A145" s="1" t="s">
        <v>116</v>
      </c>
      <c r="B145" s="43">
        <v>1876543.0</v>
      </c>
      <c r="C145" s="43">
        <v>1238518.0</v>
      </c>
      <c r="D145" s="1">
        <v>123.0</v>
      </c>
    </row>
    <row r="146" ht="13.5" customHeight="1">
      <c r="A146" s="1" t="s">
        <v>249</v>
      </c>
      <c r="B146" s="43">
        <v>54321.0</v>
      </c>
      <c r="C146" s="43">
        <v>39926.0</v>
      </c>
      <c r="D146" s="1">
        <v>123.0</v>
      </c>
    </row>
    <row r="147" ht="13.5" customHeight="1">
      <c r="A147" s="1" t="s">
        <v>341</v>
      </c>
      <c r="B147" s="43">
        <v>345210.0</v>
      </c>
      <c r="C147" s="43">
        <v>241647.0</v>
      </c>
      <c r="D147" s="1">
        <v>123.0</v>
      </c>
    </row>
    <row r="148" ht="13.5" customHeight="1">
      <c r="A148" s="1" t="s">
        <v>491</v>
      </c>
      <c r="B148" s="43">
        <v>312987.0</v>
      </c>
      <c r="C148" s="43">
        <v>197182.0</v>
      </c>
      <c r="D148" s="1">
        <v>123.0</v>
      </c>
    </row>
    <row r="149" ht="13.5" customHeight="1">
      <c r="A149" s="1" t="s">
        <v>134</v>
      </c>
      <c r="B149" s="43">
        <v>321098.0</v>
      </c>
      <c r="C149" s="43">
        <v>211925.0</v>
      </c>
      <c r="D149" s="1">
        <v>122.0</v>
      </c>
    </row>
    <row r="150" ht="13.5" customHeight="1">
      <c r="A150" s="1" t="s">
        <v>276</v>
      </c>
      <c r="B150" s="43">
        <v>56789.0</v>
      </c>
      <c r="C150" s="43">
        <v>41740.0</v>
      </c>
      <c r="D150" s="1">
        <v>122.0</v>
      </c>
    </row>
    <row r="151" ht="13.5" customHeight="1">
      <c r="A151" s="1" t="s">
        <v>320</v>
      </c>
      <c r="B151" s="43">
        <v>345678.0</v>
      </c>
      <c r="C151" s="43">
        <v>241975.0</v>
      </c>
      <c r="D151" s="1">
        <v>122.0</v>
      </c>
    </row>
    <row r="152" ht="13.5" customHeight="1">
      <c r="A152" s="1" t="s">
        <v>471</v>
      </c>
      <c r="B152" s="43">
        <v>1876543.0</v>
      </c>
      <c r="C152" s="43">
        <v>1182222.0</v>
      </c>
      <c r="D152" s="1">
        <v>122.0</v>
      </c>
    </row>
    <row r="153" ht="13.5" customHeight="1">
      <c r="A153" s="1" t="s">
        <v>285</v>
      </c>
      <c r="B153" s="43">
        <v>56789.0</v>
      </c>
      <c r="C153" s="43">
        <v>41740.0</v>
      </c>
      <c r="D153" s="1">
        <v>121.0</v>
      </c>
    </row>
    <row r="154" ht="13.5" customHeight="1">
      <c r="A154" s="1" t="s">
        <v>335</v>
      </c>
      <c r="B154" s="43">
        <v>312987.0</v>
      </c>
      <c r="C154" s="43">
        <v>219091.0</v>
      </c>
      <c r="D154" s="1">
        <v>121.0</v>
      </c>
    </row>
    <row r="155" ht="13.5" customHeight="1">
      <c r="A155" s="1" t="s">
        <v>461</v>
      </c>
      <c r="B155" s="43">
        <v>1765432.0</v>
      </c>
      <c r="C155" s="43">
        <v>1112222.0</v>
      </c>
      <c r="D155" s="1">
        <v>121.0</v>
      </c>
    </row>
    <row r="156" ht="13.5" customHeight="1">
      <c r="A156" s="1" t="s">
        <v>484</v>
      </c>
      <c r="B156" s="43">
        <v>321098.0</v>
      </c>
      <c r="C156" s="43">
        <v>202292.0</v>
      </c>
      <c r="D156" s="1">
        <v>121.0</v>
      </c>
    </row>
    <row r="157" ht="13.5" customHeight="1">
      <c r="A157" s="1" t="s">
        <v>145</v>
      </c>
      <c r="B157" s="43">
        <v>298761.0</v>
      </c>
      <c r="C157" s="43">
        <v>197182.0</v>
      </c>
      <c r="D157" s="1">
        <v>120.0</v>
      </c>
    </row>
    <row r="158" ht="13.5" customHeight="1">
      <c r="A158" s="1" t="s">
        <v>317</v>
      </c>
      <c r="B158" s="43">
        <v>1876543.0</v>
      </c>
      <c r="C158" s="43">
        <v>1313580.0</v>
      </c>
      <c r="D158" s="1">
        <v>120.0</v>
      </c>
    </row>
    <row r="159" ht="13.5" customHeight="1">
      <c r="A159" s="1" t="s">
        <v>345</v>
      </c>
      <c r="B159" s="43">
        <v>312345.0</v>
      </c>
      <c r="C159" s="43">
        <v>218642.0</v>
      </c>
      <c r="D159" s="1">
        <v>120.0</v>
      </c>
    </row>
    <row r="160" ht="13.5" customHeight="1">
      <c r="A160" s="1" t="s">
        <v>495</v>
      </c>
      <c r="B160" s="43">
        <v>298761.0</v>
      </c>
      <c r="C160" s="43">
        <v>188220.0</v>
      </c>
      <c r="D160" s="1">
        <v>120.0</v>
      </c>
    </row>
    <row r="161" ht="13.5" customHeight="1">
      <c r="A161" s="1" t="s">
        <v>130</v>
      </c>
      <c r="B161" s="43">
        <v>287654.0</v>
      </c>
      <c r="C161" s="43">
        <v>189851.0</v>
      </c>
      <c r="D161" s="1">
        <v>119.0</v>
      </c>
    </row>
    <row r="162" ht="13.5" customHeight="1">
      <c r="A162" s="1" t="s">
        <v>301</v>
      </c>
      <c r="B162" s="43">
        <v>1876543.0</v>
      </c>
      <c r="C162" s="43">
        <v>1313580.0</v>
      </c>
      <c r="D162" s="1">
        <v>119.0</v>
      </c>
    </row>
    <row r="163" ht="13.5" customHeight="1">
      <c r="A163" s="1" t="s">
        <v>328</v>
      </c>
      <c r="B163" s="43">
        <v>321098.0</v>
      </c>
      <c r="C163" s="43">
        <v>224769.0</v>
      </c>
      <c r="D163" s="1">
        <v>119.0</v>
      </c>
    </row>
    <row r="164" ht="13.5" customHeight="1">
      <c r="A164" s="1" t="s">
        <v>603</v>
      </c>
      <c r="B164" s="43">
        <v>98765.0</v>
      </c>
      <c r="C164" s="43">
        <v>62222.0</v>
      </c>
      <c r="D164" s="1">
        <v>119.0</v>
      </c>
    </row>
    <row r="165" ht="13.5" customHeight="1">
      <c r="A165" s="1" t="s">
        <v>139</v>
      </c>
      <c r="B165" s="43">
        <v>289765.0</v>
      </c>
      <c r="C165" s="43">
        <v>191245.0</v>
      </c>
      <c r="D165" s="1">
        <v>118.0</v>
      </c>
    </row>
    <row r="166" ht="13.5" customHeight="1">
      <c r="A166" s="1" t="s">
        <v>291</v>
      </c>
      <c r="B166" s="43">
        <v>1765432.0</v>
      </c>
      <c r="C166" s="43">
        <v>1235802.0</v>
      </c>
      <c r="D166" s="1">
        <v>118.0</v>
      </c>
    </row>
    <row r="167" ht="13.5" customHeight="1">
      <c r="A167" s="1" t="s">
        <v>339</v>
      </c>
      <c r="B167" s="43">
        <v>298761.0</v>
      </c>
      <c r="C167" s="43">
        <v>209133.0</v>
      </c>
      <c r="D167" s="1">
        <v>118.0</v>
      </c>
    </row>
    <row r="168" ht="13.5" customHeight="1">
      <c r="A168" s="1" t="s">
        <v>466</v>
      </c>
      <c r="B168" s="43">
        <v>1987654.0</v>
      </c>
      <c r="C168" s="43">
        <v>1252222.0</v>
      </c>
      <c r="D168" s="1">
        <v>118.0</v>
      </c>
    </row>
    <row r="169" ht="13.5" customHeight="1">
      <c r="A169" s="1" t="s">
        <v>480</v>
      </c>
      <c r="B169" s="43">
        <v>287654.0</v>
      </c>
      <c r="C169" s="43">
        <v>181222.0</v>
      </c>
      <c r="D169" s="1">
        <v>118.0</v>
      </c>
    </row>
    <row r="170" ht="13.5" customHeight="1">
      <c r="A170" s="1" t="s">
        <v>594</v>
      </c>
      <c r="B170" s="43">
        <v>98765.0</v>
      </c>
      <c r="C170" s="43">
        <v>62222.0</v>
      </c>
      <c r="D170" s="1">
        <v>118.0</v>
      </c>
    </row>
    <row r="171" ht="13.5" customHeight="1">
      <c r="A171" s="1" t="s">
        <v>280</v>
      </c>
      <c r="B171" s="43">
        <v>34567.0</v>
      </c>
      <c r="C171" s="43">
        <v>25407.0</v>
      </c>
      <c r="D171" s="1">
        <v>117.0</v>
      </c>
    </row>
    <row r="172" ht="13.5" customHeight="1">
      <c r="A172" s="1" t="s">
        <v>307</v>
      </c>
      <c r="B172" s="43">
        <v>1876543.0</v>
      </c>
      <c r="C172" s="43">
        <v>1313580.0</v>
      </c>
      <c r="D172" s="1">
        <v>117.0</v>
      </c>
    </row>
    <row r="173" ht="13.5" customHeight="1">
      <c r="A173" s="1" t="s">
        <v>324</v>
      </c>
      <c r="B173" s="43">
        <v>287654.0</v>
      </c>
      <c r="C173" s="43">
        <v>201358.0</v>
      </c>
      <c r="D173" s="1">
        <v>117.0</v>
      </c>
    </row>
    <row r="174" ht="13.5" customHeight="1">
      <c r="A174" s="1" t="s">
        <v>489</v>
      </c>
      <c r="B174" s="43">
        <v>289765.0</v>
      </c>
      <c r="C174" s="43">
        <v>182552.0</v>
      </c>
      <c r="D174" s="1">
        <v>117.0</v>
      </c>
    </row>
    <row r="175" ht="13.5" customHeight="1">
      <c r="A175" s="1" t="s">
        <v>585</v>
      </c>
      <c r="B175" s="43">
        <v>98765.0</v>
      </c>
      <c r="C175" s="43">
        <v>62222.0</v>
      </c>
      <c r="D175" s="1">
        <v>117.0</v>
      </c>
    </row>
    <row r="176" ht="13.5" customHeight="1">
      <c r="A176" s="1" t="s">
        <v>149</v>
      </c>
      <c r="B176" s="43">
        <v>278901.0</v>
      </c>
      <c r="C176" s="43">
        <v>184075.0</v>
      </c>
      <c r="D176" s="1">
        <v>116.0</v>
      </c>
    </row>
    <row r="177" ht="13.5" customHeight="1">
      <c r="A177" s="1" t="s">
        <v>262</v>
      </c>
      <c r="B177" s="43">
        <v>34567.0</v>
      </c>
      <c r="C177" s="43">
        <v>25407.0</v>
      </c>
      <c r="D177" s="1">
        <v>116.0</v>
      </c>
    </row>
    <row r="178" ht="13.5" customHeight="1">
      <c r="A178" s="1" t="s">
        <v>312</v>
      </c>
      <c r="B178" s="43">
        <v>1987654.0</v>
      </c>
      <c r="C178" s="43">
        <v>1391358.0</v>
      </c>
      <c r="D178" s="1">
        <v>116.0</v>
      </c>
    </row>
    <row r="179" ht="13.5" customHeight="1">
      <c r="A179" s="1" t="s">
        <v>349</v>
      </c>
      <c r="B179" s="43">
        <v>298761.0</v>
      </c>
      <c r="C179" s="43">
        <v>209133.0</v>
      </c>
      <c r="D179" s="1">
        <v>116.0</v>
      </c>
    </row>
    <row r="180" ht="13.5" customHeight="1">
      <c r="A180" s="1" t="s">
        <v>499</v>
      </c>
      <c r="B180" s="43">
        <v>278901.0</v>
      </c>
      <c r="C180" s="43">
        <v>175708.0</v>
      </c>
      <c r="D180" s="1">
        <v>116.0</v>
      </c>
    </row>
    <row r="181" ht="13.5" customHeight="1">
      <c r="A181" s="1" t="s">
        <v>576</v>
      </c>
      <c r="B181" s="43">
        <v>98765.0</v>
      </c>
      <c r="C181" s="43">
        <v>62222.0</v>
      </c>
      <c r="D181" s="1">
        <v>116.0</v>
      </c>
    </row>
    <row r="182" ht="13.5" customHeight="1">
      <c r="A182" s="1" t="s">
        <v>122</v>
      </c>
      <c r="B182" s="43">
        <v>1654321.0</v>
      </c>
      <c r="C182" s="43">
        <v>1091852.0</v>
      </c>
      <c r="D182" s="1">
        <v>115.0</v>
      </c>
    </row>
    <row r="183" ht="13.5" customHeight="1">
      <c r="A183" s="1" t="s">
        <v>126</v>
      </c>
      <c r="B183" s="43">
        <v>345678.0</v>
      </c>
      <c r="C183" s="43">
        <v>228148.0</v>
      </c>
      <c r="D183" s="1">
        <v>115.0</v>
      </c>
    </row>
    <row r="184" ht="13.5" customHeight="1">
      <c r="A184" s="1" t="s">
        <v>143</v>
      </c>
      <c r="B184" s="43">
        <v>276543.0</v>
      </c>
      <c r="C184" s="43">
        <v>182518.0</v>
      </c>
      <c r="D184" s="1">
        <v>115.0</v>
      </c>
    </row>
    <row r="185" ht="13.5" customHeight="1">
      <c r="A185" s="1" t="s">
        <v>253</v>
      </c>
      <c r="B185" s="43">
        <v>34567.0</v>
      </c>
      <c r="C185" s="43">
        <v>25407.0</v>
      </c>
      <c r="D185" s="1">
        <v>115.0</v>
      </c>
    </row>
    <row r="186" ht="13.5" customHeight="1">
      <c r="A186" s="1" t="s">
        <v>296</v>
      </c>
      <c r="B186" s="43">
        <v>1987654.0</v>
      </c>
      <c r="C186" s="43">
        <v>1391358.0</v>
      </c>
      <c r="D186" s="1">
        <v>115.0</v>
      </c>
    </row>
    <row r="187" ht="13.5" customHeight="1">
      <c r="A187" s="1" t="s">
        <v>333</v>
      </c>
      <c r="B187" s="43">
        <v>289765.0</v>
      </c>
      <c r="C187" s="43">
        <v>202836.0</v>
      </c>
      <c r="D187" s="1">
        <v>115.0</v>
      </c>
    </row>
    <row r="188" ht="13.5" customHeight="1">
      <c r="A188" s="1" t="s">
        <v>486</v>
      </c>
      <c r="B188" s="43">
        <v>254321.0</v>
      </c>
      <c r="C188" s="43">
        <v>160222.0</v>
      </c>
      <c r="D188" s="1">
        <v>115.0</v>
      </c>
    </row>
    <row r="189" ht="13.5" customHeight="1">
      <c r="A189" s="1" t="s">
        <v>567</v>
      </c>
      <c r="B189" s="43">
        <v>98765.0</v>
      </c>
      <c r="C189" s="43">
        <v>62222.0</v>
      </c>
      <c r="D189" s="1">
        <v>115.0</v>
      </c>
    </row>
    <row r="190" ht="13.5" customHeight="1">
      <c r="A190" s="1" t="s">
        <v>271</v>
      </c>
      <c r="B190" s="43">
        <v>34567.0</v>
      </c>
      <c r="C190" s="43">
        <v>25407.0</v>
      </c>
      <c r="D190" s="1">
        <v>114.0</v>
      </c>
    </row>
    <row r="191" ht="13.5" customHeight="1">
      <c r="A191" s="1" t="s">
        <v>343</v>
      </c>
      <c r="B191" s="43">
        <v>278901.0</v>
      </c>
      <c r="C191" s="43">
        <v>195231.0</v>
      </c>
      <c r="D191" s="1">
        <v>114.0</v>
      </c>
    </row>
    <row r="192" ht="13.5" customHeight="1">
      <c r="A192" s="1" t="s">
        <v>558</v>
      </c>
      <c r="B192" s="43">
        <v>98765.0</v>
      </c>
      <c r="C192" s="43">
        <v>62222.0</v>
      </c>
      <c r="D192" s="1">
        <v>114.0</v>
      </c>
    </row>
    <row r="193" ht="13.5" customHeight="1">
      <c r="A193" s="1" t="s">
        <v>601</v>
      </c>
      <c r="B193" s="43">
        <v>87654.0</v>
      </c>
      <c r="C193" s="43">
        <v>55222.0</v>
      </c>
      <c r="D193" s="1">
        <v>114.0</v>
      </c>
    </row>
    <row r="194" ht="13.5" customHeight="1">
      <c r="A194" s="1" t="s">
        <v>136</v>
      </c>
      <c r="B194" s="43">
        <v>254321.0</v>
      </c>
      <c r="C194" s="43">
        <v>167852.0</v>
      </c>
      <c r="D194" s="1">
        <v>113.0</v>
      </c>
    </row>
    <row r="195" ht="13.5" customHeight="1">
      <c r="A195" s="1" t="s">
        <v>275</v>
      </c>
      <c r="B195" s="43">
        <v>43210.0</v>
      </c>
      <c r="C195" s="43">
        <v>31760.0</v>
      </c>
      <c r="D195" s="1">
        <v>113.0</v>
      </c>
    </row>
    <row r="196" ht="13.5" customHeight="1">
      <c r="A196" s="1" t="s">
        <v>353</v>
      </c>
      <c r="B196" s="43">
        <v>278901.0</v>
      </c>
      <c r="C196" s="43">
        <v>195231.0</v>
      </c>
      <c r="D196" s="1">
        <v>113.0</v>
      </c>
    </row>
    <row r="197" ht="13.5" customHeight="1">
      <c r="A197" s="1" t="s">
        <v>493</v>
      </c>
      <c r="B197" s="43">
        <v>276543.0</v>
      </c>
      <c r="C197" s="43">
        <v>174222.0</v>
      </c>
      <c r="D197" s="1">
        <v>113.0</v>
      </c>
    </row>
    <row r="198" ht="13.5" customHeight="1">
      <c r="A198" s="1" t="s">
        <v>549</v>
      </c>
      <c r="B198" s="43">
        <v>98765.0</v>
      </c>
      <c r="C198" s="43">
        <v>62222.0</v>
      </c>
      <c r="D198" s="1">
        <v>113.0</v>
      </c>
    </row>
    <row r="199" ht="13.5" customHeight="1">
      <c r="A199" s="1" t="s">
        <v>592</v>
      </c>
      <c r="B199" s="43">
        <v>87654.0</v>
      </c>
      <c r="C199" s="43">
        <v>55222.0</v>
      </c>
      <c r="D199" s="1">
        <v>113.0</v>
      </c>
    </row>
    <row r="200" ht="13.5" customHeight="1">
      <c r="A200" s="1" t="s">
        <v>112</v>
      </c>
      <c r="B200" s="43">
        <v>1987654.0</v>
      </c>
      <c r="C200" s="43">
        <v>1311851.0</v>
      </c>
      <c r="D200" s="1">
        <v>112.0</v>
      </c>
    </row>
    <row r="201" ht="13.5" customHeight="1">
      <c r="A201" s="1" t="s">
        <v>257</v>
      </c>
      <c r="B201" s="43">
        <v>43210.0</v>
      </c>
      <c r="C201" s="43">
        <v>31760.0</v>
      </c>
      <c r="D201" s="1">
        <v>112.0</v>
      </c>
    </row>
    <row r="202" ht="13.5" customHeight="1">
      <c r="A202" s="1" t="s">
        <v>330</v>
      </c>
      <c r="B202" s="43">
        <v>254321.0</v>
      </c>
      <c r="C202" s="43">
        <v>178025.0</v>
      </c>
      <c r="D202" s="1">
        <v>112.0</v>
      </c>
    </row>
    <row r="203" ht="13.5" customHeight="1">
      <c r="A203" s="1" t="s">
        <v>475</v>
      </c>
      <c r="B203" s="43">
        <v>234567.0</v>
      </c>
      <c r="C203" s="43">
        <v>147777.0</v>
      </c>
      <c r="D203" s="1">
        <v>112.0</v>
      </c>
    </row>
    <row r="204" ht="13.5" customHeight="1">
      <c r="A204" s="1" t="s">
        <v>540</v>
      </c>
      <c r="B204" s="43">
        <v>98765.0</v>
      </c>
      <c r="C204" s="43">
        <v>62222.0</v>
      </c>
      <c r="D204" s="1">
        <v>112.0</v>
      </c>
    </row>
    <row r="205" ht="13.5" customHeight="1">
      <c r="A205" s="1" t="s">
        <v>583</v>
      </c>
      <c r="B205" s="43">
        <v>87654.0</v>
      </c>
      <c r="C205" s="43">
        <v>55222.0</v>
      </c>
      <c r="D205" s="1">
        <v>112.0</v>
      </c>
    </row>
    <row r="206" ht="13.5" customHeight="1">
      <c r="A206" s="1" t="s">
        <v>266</v>
      </c>
      <c r="B206" s="43">
        <v>43210.0</v>
      </c>
      <c r="C206" s="43">
        <v>31760.0</v>
      </c>
      <c r="D206" s="1">
        <v>111.0</v>
      </c>
    </row>
    <row r="207" ht="13.5" customHeight="1">
      <c r="A207" s="1" t="s">
        <v>337</v>
      </c>
      <c r="B207" s="43">
        <v>276543.0</v>
      </c>
      <c r="C207" s="43">
        <v>193580.0</v>
      </c>
      <c r="D207" s="1">
        <v>111.0</v>
      </c>
    </row>
    <row r="208" ht="13.5" customHeight="1">
      <c r="A208" s="1" t="s">
        <v>483</v>
      </c>
      <c r="B208" s="43">
        <v>210987.0</v>
      </c>
      <c r="C208" s="43">
        <v>132922.0</v>
      </c>
      <c r="D208" s="1">
        <v>111.0</v>
      </c>
    </row>
    <row r="209" ht="13.5" customHeight="1">
      <c r="A209" s="1" t="s">
        <v>531</v>
      </c>
      <c r="B209" s="43">
        <v>98765.0</v>
      </c>
      <c r="C209" s="43">
        <v>62222.0</v>
      </c>
      <c r="D209" s="1">
        <v>111.0</v>
      </c>
    </row>
    <row r="210" ht="13.5" customHeight="1">
      <c r="A210" s="1" t="s">
        <v>574</v>
      </c>
      <c r="B210" s="43">
        <v>87654.0</v>
      </c>
      <c r="C210" s="43">
        <v>55222.0</v>
      </c>
      <c r="D210" s="1">
        <v>111.0</v>
      </c>
    </row>
    <row r="211" ht="13.5" customHeight="1">
      <c r="A211" s="1" t="s">
        <v>607</v>
      </c>
      <c r="B211" s="43">
        <v>76543.0</v>
      </c>
      <c r="C211" s="43">
        <v>48222.0</v>
      </c>
      <c r="D211" s="1">
        <v>111.0</v>
      </c>
    </row>
    <row r="212" ht="13.5" customHeight="1">
      <c r="A212" s="1" t="s">
        <v>284</v>
      </c>
      <c r="B212" s="43">
        <v>43210.0</v>
      </c>
      <c r="C212" s="43">
        <v>31760.0</v>
      </c>
      <c r="D212" s="1">
        <v>110.0</v>
      </c>
    </row>
    <row r="213" ht="13.5" customHeight="1">
      <c r="A213" s="1" t="s">
        <v>347</v>
      </c>
      <c r="B213" s="43">
        <v>276543.0</v>
      </c>
      <c r="C213" s="43">
        <v>193580.0</v>
      </c>
      <c r="D213" s="1">
        <v>110.0</v>
      </c>
    </row>
    <row r="214" ht="13.5" customHeight="1">
      <c r="A214" s="1" t="s">
        <v>395</v>
      </c>
      <c r="B214" s="43">
        <v>4234567.0</v>
      </c>
      <c r="C214" s="43">
        <v>2710123.0</v>
      </c>
      <c r="D214" s="1">
        <v>110.0</v>
      </c>
    </row>
    <row r="215" ht="13.5" customHeight="1">
      <c r="A215" s="1" t="s">
        <v>500</v>
      </c>
      <c r="B215" s="43">
        <v>199876.0</v>
      </c>
      <c r="C215" s="43">
        <v>125922.0</v>
      </c>
      <c r="D215" s="1">
        <v>110.0</v>
      </c>
    </row>
    <row r="216" ht="13.5" customHeight="1">
      <c r="A216" s="1" t="s">
        <v>522</v>
      </c>
      <c r="B216" s="43">
        <v>98765.0</v>
      </c>
      <c r="C216" s="43">
        <v>62222.0</v>
      </c>
      <c r="D216" s="1">
        <v>110.0</v>
      </c>
    </row>
    <row r="217" ht="13.5" customHeight="1">
      <c r="A217" s="1" t="s">
        <v>565</v>
      </c>
      <c r="B217" s="43">
        <v>87654.0</v>
      </c>
      <c r="C217" s="43">
        <v>55222.0</v>
      </c>
      <c r="D217" s="1">
        <v>110.0</v>
      </c>
    </row>
    <row r="218" ht="13.5" customHeight="1">
      <c r="A218" s="1" t="s">
        <v>598</v>
      </c>
      <c r="B218" s="43">
        <v>76543.0</v>
      </c>
      <c r="C218" s="43">
        <v>48222.0</v>
      </c>
      <c r="D218" s="1">
        <v>110.0</v>
      </c>
    </row>
    <row r="219" ht="13.5" customHeight="1">
      <c r="A219" s="1" t="s">
        <v>133</v>
      </c>
      <c r="B219" s="43">
        <v>210987.0</v>
      </c>
      <c r="C219" s="43">
        <v>139252.0</v>
      </c>
      <c r="D219" s="1">
        <v>109.0</v>
      </c>
    </row>
    <row r="220" ht="13.5" customHeight="1">
      <c r="A220" s="1" t="s">
        <v>327</v>
      </c>
      <c r="B220" s="43">
        <v>210987.0</v>
      </c>
      <c r="C220" s="43">
        <v>147691.0</v>
      </c>
      <c r="D220" s="1">
        <v>109.0</v>
      </c>
    </row>
    <row r="221" ht="13.5" customHeight="1">
      <c r="A221" s="1" t="s">
        <v>390</v>
      </c>
      <c r="B221" s="43">
        <v>3987612.0</v>
      </c>
      <c r="C221" s="43">
        <v>2552072.0</v>
      </c>
      <c r="D221" s="1">
        <v>109.0</v>
      </c>
    </row>
    <row r="222" ht="13.5" customHeight="1">
      <c r="A222" s="1" t="s">
        <v>407</v>
      </c>
      <c r="B222" s="43">
        <v>456789.0</v>
      </c>
      <c r="C222" s="43">
        <v>292345.0</v>
      </c>
      <c r="D222" s="1">
        <v>109.0</v>
      </c>
    </row>
    <row r="223" ht="13.5" customHeight="1">
      <c r="A223" s="1" t="s">
        <v>490</v>
      </c>
      <c r="B223" s="43">
        <v>198543.0</v>
      </c>
      <c r="C223" s="43">
        <v>125082.0</v>
      </c>
      <c r="D223" s="1">
        <v>109.0</v>
      </c>
    </row>
    <row r="224" ht="13.5" customHeight="1">
      <c r="A224" s="1" t="s">
        <v>513</v>
      </c>
      <c r="B224" s="43">
        <v>98765.0</v>
      </c>
      <c r="C224" s="43">
        <v>62222.0</v>
      </c>
      <c r="D224" s="1">
        <v>109.0</v>
      </c>
    </row>
    <row r="225" ht="13.5" customHeight="1">
      <c r="A225" s="1" t="s">
        <v>556</v>
      </c>
      <c r="B225" s="43">
        <v>87654.0</v>
      </c>
      <c r="C225" s="43">
        <v>55222.0</v>
      </c>
      <c r="D225" s="1">
        <v>109.0</v>
      </c>
    </row>
    <row r="226" ht="13.5" customHeight="1">
      <c r="A226" s="1" t="s">
        <v>589</v>
      </c>
      <c r="B226" s="43">
        <v>76543.0</v>
      </c>
      <c r="C226" s="43">
        <v>48222.0</v>
      </c>
      <c r="D226" s="1">
        <v>109.0</v>
      </c>
    </row>
    <row r="227" ht="13.5" customHeight="1">
      <c r="A227" s="1" t="s">
        <v>118</v>
      </c>
      <c r="B227" s="43">
        <v>2345678.0</v>
      </c>
      <c r="C227" s="43">
        <v>1548148.0</v>
      </c>
      <c r="D227" s="1">
        <v>108.0</v>
      </c>
    </row>
    <row r="228" ht="13.5" customHeight="1">
      <c r="A228" s="1" t="s">
        <v>269</v>
      </c>
      <c r="B228" s="43">
        <v>23456.0</v>
      </c>
      <c r="C228" s="43">
        <v>17240.0</v>
      </c>
      <c r="D228" s="1">
        <v>108.0</v>
      </c>
    </row>
    <row r="229" ht="13.5" customHeight="1">
      <c r="A229" s="1" t="s">
        <v>319</v>
      </c>
      <c r="B229" s="43">
        <v>234567.0</v>
      </c>
      <c r="C229" s="43">
        <v>164197.0</v>
      </c>
      <c r="D229" s="1">
        <v>108.0</v>
      </c>
    </row>
    <row r="230" ht="13.5" customHeight="1">
      <c r="A230" s="1" t="s">
        <v>399</v>
      </c>
      <c r="B230" s="43">
        <v>4509876.0</v>
      </c>
      <c r="C230" s="43">
        <v>2886321.0</v>
      </c>
      <c r="D230" s="1">
        <v>108.0</v>
      </c>
    </row>
    <row r="231" ht="13.5" customHeight="1">
      <c r="A231" s="1" t="s">
        <v>416</v>
      </c>
      <c r="B231" s="43">
        <v>367890.0</v>
      </c>
      <c r="C231" s="43">
        <v>235450.0</v>
      </c>
      <c r="D231" s="1">
        <v>108.0</v>
      </c>
    </row>
    <row r="232" ht="13.5" customHeight="1">
      <c r="A232" s="1" t="s">
        <v>479</v>
      </c>
      <c r="B232" s="43">
        <v>198765.0</v>
      </c>
      <c r="C232" s="43">
        <v>125222.0</v>
      </c>
      <c r="D232" s="1">
        <v>108.0</v>
      </c>
    </row>
    <row r="233" ht="13.5" customHeight="1">
      <c r="A233" s="1" t="s">
        <v>504</v>
      </c>
      <c r="B233" s="43">
        <v>98765.0</v>
      </c>
      <c r="C233" s="43">
        <v>62222.0</v>
      </c>
      <c r="D233" s="1">
        <v>108.0</v>
      </c>
    </row>
    <row r="234" ht="13.5" customHeight="1">
      <c r="A234" s="1" t="s">
        <v>547</v>
      </c>
      <c r="B234" s="43">
        <v>87654.0</v>
      </c>
      <c r="C234" s="43">
        <v>55222.0</v>
      </c>
      <c r="D234" s="1">
        <v>108.0</v>
      </c>
    </row>
    <row r="235" ht="13.5" customHeight="1">
      <c r="A235" s="1" t="s">
        <v>580</v>
      </c>
      <c r="B235" s="43">
        <v>76543.0</v>
      </c>
      <c r="C235" s="43">
        <v>48222.0</v>
      </c>
      <c r="D235" s="1">
        <v>108.0</v>
      </c>
    </row>
    <row r="236" ht="13.5" customHeight="1">
      <c r="A236" s="1" t="s">
        <v>251</v>
      </c>
      <c r="B236" s="43">
        <v>23456.0</v>
      </c>
      <c r="C236" s="43">
        <v>17240.0</v>
      </c>
      <c r="D236" s="1">
        <v>107.0</v>
      </c>
    </row>
    <row r="237" ht="13.5" customHeight="1">
      <c r="A237" s="1" t="s">
        <v>334</v>
      </c>
      <c r="B237" s="43">
        <v>198543.0</v>
      </c>
      <c r="C237" s="43">
        <v>138980.0</v>
      </c>
      <c r="D237" s="1">
        <v>107.0</v>
      </c>
    </row>
    <row r="238" ht="13.5" customHeight="1">
      <c r="A238" s="1" t="s">
        <v>354</v>
      </c>
      <c r="B238" s="43">
        <v>199876.0</v>
      </c>
      <c r="C238" s="43">
        <v>139913.0</v>
      </c>
      <c r="D238" s="1">
        <v>107.0</v>
      </c>
    </row>
    <row r="239" ht="13.5" customHeight="1">
      <c r="A239" s="1" t="s">
        <v>392</v>
      </c>
      <c r="B239" s="43">
        <v>5123987.0</v>
      </c>
      <c r="C239" s="43">
        <v>3279352.0</v>
      </c>
      <c r="D239" s="1">
        <v>107.0</v>
      </c>
    </row>
    <row r="240" ht="13.5" customHeight="1">
      <c r="A240" s="1" t="s">
        <v>402</v>
      </c>
      <c r="B240" s="43">
        <v>4987612.0</v>
      </c>
      <c r="C240" s="43">
        <v>3192072.0</v>
      </c>
      <c r="D240" s="1">
        <v>107.0</v>
      </c>
    </row>
    <row r="241" ht="13.5" customHeight="1">
      <c r="A241" s="1" t="s">
        <v>411</v>
      </c>
      <c r="B241" s="43">
        <v>398761.0</v>
      </c>
      <c r="C241" s="43">
        <v>255207.0</v>
      </c>
      <c r="D241" s="1">
        <v>107.0</v>
      </c>
    </row>
    <row r="242" ht="13.5" customHeight="1">
      <c r="A242" s="1" t="s">
        <v>496</v>
      </c>
      <c r="B242" s="43">
        <v>187654.0</v>
      </c>
      <c r="C242" s="43">
        <v>118222.0</v>
      </c>
      <c r="D242" s="1">
        <v>107.0</v>
      </c>
    </row>
    <row r="243" ht="13.5" customHeight="1">
      <c r="A243" s="1" t="s">
        <v>538</v>
      </c>
      <c r="B243" s="43">
        <v>87654.0</v>
      </c>
      <c r="C243" s="43">
        <v>55222.0</v>
      </c>
      <c r="D243" s="1">
        <v>107.0</v>
      </c>
    </row>
    <row r="244" ht="13.5" customHeight="1">
      <c r="A244" s="1" t="s">
        <v>571</v>
      </c>
      <c r="B244" s="43">
        <v>76543.0</v>
      </c>
      <c r="C244" s="43">
        <v>48222.0</v>
      </c>
      <c r="D244" s="1">
        <v>107.0</v>
      </c>
    </row>
    <row r="245" ht="13.5" customHeight="1">
      <c r="A245" s="1" t="s">
        <v>260</v>
      </c>
      <c r="B245" s="43">
        <v>23456.0</v>
      </c>
      <c r="C245" s="43">
        <v>17240.0</v>
      </c>
      <c r="D245" s="1">
        <v>106.0</v>
      </c>
    </row>
    <row r="246" ht="13.5" customHeight="1">
      <c r="A246" s="1" t="s">
        <v>344</v>
      </c>
      <c r="B246" s="43">
        <v>199876.0</v>
      </c>
      <c r="C246" s="43">
        <v>139913.0</v>
      </c>
      <c r="D246" s="1">
        <v>106.0</v>
      </c>
    </row>
    <row r="247" ht="13.5" customHeight="1">
      <c r="A247" s="1" t="s">
        <v>394</v>
      </c>
      <c r="B247" s="43">
        <v>3456789.0</v>
      </c>
      <c r="C247" s="43">
        <v>2212345.0</v>
      </c>
      <c r="D247" s="1">
        <v>106.0</v>
      </c>
    </row>
    <row r="248" ht="13.5" customHeight="1">
      <c r="A248" s="1" t="s">
        <v>420</v>
      </c>
      <c r="B248" s="43">
        <v>312987.0</v>
      </c>
      <c r="C248" s="43">
        <v>200312.0</v>
      </c>
      <c r="D248" s="1">
        <v>106.0</v>
      </c>
    </row>
    <row r="249" ht="13.5" customHeight="1">
      <c r="A249" s="1" t="s">
        <v>488</v>
      </c>
      <c r="B249" s="43">
        <v>176543.0</v>
      </c>
      <c r="C249" s="43">
        <v>111222.0</v>
      </c>
      <c r="D249" s="1">
        <v>106.0</v>
      </c>
    </row>
    <row r="250" ht="13.5" customHeight="1">
      <c r="A250" s="1" t="s">
        <v>529</v>
      </c>
      <c r="B250" s="43">
        <v>87654.0</v>
      </c>
      <c r="C250" s="43">
        <v>55222.0</v>
      </c>
      <c r="D250" s="1">
        <v>106.0</v>
      </c>
    </row>
    <row r="251" ht="13.5" customHeight="1">
      <c r="A251" s="1" t="s">
        <v>562</v>
      </c>
      <c r="B251" s="43">
        <v>76543.0</v>
      </c>
      <c r="C251" s="43">
        <v>48222.0</v>
      </c>
      <c r="D251" s="1">
        <v>106.0</v>
      </c>
    </row>
    <row r="252" ht="13.5" customHeight="1">
      <c r="A252" s="1" t="s">
        <v>278</v>
      </c>
      <c r="B252" s="43">
        <v>23456.0</v>
      </c>
      <c r="C252" s="43">
        <v>17240.0</v>
      </c>
      <c r="D252" s="1">
        <v>105.0</v>
      </c>
    </row>
    <row r="253" ht="13.5" customHeight="1">
      <c r="A253" s="1" t="s">
        <v>340</v>
      </c>
      <c r="B253" s="43">
        <v>187654.0</v>
      </c>
      <c r="C253" s="43">
        <v>131358.0</v>
      </c>
      <c r="D253" s="1">
        <v>105.0</v>
      </c>
    </row>
    <row r="254" ht="13.5" customHeight="1">
      <c r="A254" s="1" t="s">
        <v>397</v>
      </c>
      <c r="B254" s="43">
        <v>3678901.0</v>
      </c>
      <c r="C254" s="43">
        <v>2354497.0</v>
      </c>
      <c r="D254" s="1">
        <v>105.0</v>
      </c>
    </row>
    <row r="255" ht="13.5" customHeight="1">
      <c r="A255" s="1" t="s">
        <v>405</v>
      </c>
      <c r="B255" s="43">
        <v>345678.0</v>
      </c>
      <c r="C255" s="43">
        <v>221234.0</v>
      </c>
      <c r="D255" s="1">
        <v>105.0</v>
      </c>
    </row>
    <row r="256" ht="13.5" customHeight="1">
      <c r="A256" s="1" t="s">
        <v>426</v>
      </c>
      <c r="B256" s="43">
        <v>345210.0</v>
      </c>
      <c r="C256" s="43">
        <v>220934.0</v>
      </c>
      <c r="D256" s="1">
        <v>105.0</v>
      </c>
    </row>
    <row r="257" ht="13.5" customHeight="1">
      <c r="A257" s="1" t="s">
        <v>481</v>
      </c>
      <c r="B257" s="43">
        <v>165432.0</v>
      </c>
      <c r="C257" s="43">
        <v>104222.0</v>
      </c>
      <c r="D257" s="1">
        <v>105.0</v>
      </c>
    </row>
    <row r="258" ht="13.5" customHeight="1">
      <c r="A258" s="1" t="s">
        <v>520</v>
      </c>
      <c r="B258" s="43">
        <v>87654.0</v>
      </c>
      <c r="C258" s="43">
        <v>55222.0</v>
      </c>
      <c r="D258" s="1">
        <v>105.0</v>
      </c>
    </row>
    <row r="259" ht="13.5" customHeight="1">
      <c r="A259" s="1" t="s">
        <v>553</v>
      </c>
      <c r="B259" s="43">
        <v>76543.0</v>
      </c>
      <c r="C259" s="43">
        <v>48222.0</v>
      </c>
      <c r="D259" s="1">
        <v>105.0</v>
      </c>
    </row>
    <row r="260" ht="13.5" customHeight="1">
      <c r="A260" s="1" t="s">
        <v>605</v>
      </c>
      <c r="B260" s="43">
        <v>65432.0</v>
      </c>
      <c r="C260" s="43">
        <v>41222.0</v>
      </c>
      <c r="D260" s="1">
        <v>105.0</v>
      </c>
    </row>
    <row r="261" ht="13.5" customHeight="1">
      <c r="A261" s="1" t="s">
        <v>129</v>
      </c>
      <c r="B261" s="43">
        <v>198765.0</v>
      </c>
      <c r="C261" s="43">
        <v>131185.0</v>
      </c>
      <c r="D261" s="1">
        <v>104.0</v>
      </c>
    </row>
    <row r="262" ht="13.5" customHeight="1">
      <c r="A262" s="1" t="s">
        <v>287</v>
      </c>
      <c r="B262" s="43">
        <v>23456.0</v>
      </c>
      <c r="C262" s="43">
        <v>17240.0</v>
      </c>
      <c r="D262" s="1">
        <v>104.0</v>
      </c>
    </row>
    <row r="263" ht="13.5" customHeight="1">
      <c r="A263" s="1" t="s">
        <v>323</v>
      </c>
      <c r="B263" s="43">
        <v>198765.0</v>
      </c>
      <c r="C263" s="43">
        <v>139136.0</v>
      </c>
      <c r="D263" s="1">
        <v>104.0</v>
      </c>
    </row>
    <row r="264" ht="13.5" customHeight="1">
      <c r="A264" s="1" t="s">
        <v>350</v>
      </c>
      <c r="B264" s="43">
        <v>187654.0</v>
      </c>
      <c r="C264" s="43">
        <v>131358.0</v>
      </c>
      <c r="D264" s="1">
        <v>104.0</v>
      </c>
    </row>
    <row r="265" ht="13.5" customHeight="1">
      <c r="A265" s="1" t="s">
        <v>389</v>
      </c>
      <c r="B265" s="43">
        <v>2876543.0</v>
      </c>
      <c r="C265" s="43">
        <v>1840987.0</v>
      </c>
      <c r="D265" s="1">
        <v>104.0</v>
      </c>
    </row>
    <row r="266" ht="13.5" customHeight="1">
      <c r="A266" s="1" t="s">
        <v>413</v>
      </c>
      <c r="B266" s="43">
        <v>321098.0</v>
      </c>
      <c r="C266" s="43">
        <v>205502.0</v>
      </c>
      <c r="D266" s="1">
        <v>104.0</v>
      </c>
    </row>
    <row r="267" ht="13.5" customHeight="1">
      <c r="A267" s="1" t="s">
        <v>498</v>
      </c>
      <c r="B267" s="43">
        <v>165432.0</v>
      </c>
      <c r="C267" s="43">
        <v>104222.0</v>
      </c>
      <c r="D267" s="1">
        <v>104.0</v>
      </c>
    </row>
    <row r="268" ht="13.5" customHeight="1">
      <c r="A268" s="1" t="s">
        <v>511</v>
      </c>
      <c r="B268" s="43">
        <v>87654.0</v>
      </c>
      <c r="C268" s="43">
        <v>55222.0</v>
      </c>
      <c r="D268" s="1">
        <v>104.0</v>
      </c>
    </row>
    <row r="269" ht="13.5" customHeight="1">
      <c r="A269" s="1" t="s">
        <v>544</v>
      </c>
      <c r="B269" s="43">
        <v>76543.0</v>
      </c>
      <c r="C269" s="43">
        <v>48222.0</v>
      </c>
      <c r="D269" s="1">
        <v>104.0</v>
      </c>
    </row>
    <row r="270" ht="13.5" customHeight="1">
      <c r="A270" s="1" t="s">
        <v>596</v>
      </c>
      <c r="B270" s="43">
        <v>65432.0</v>
      </c>
      <c r="C270" s="43">
        <v>41222.0</v>
      </c>
      <c r="D270" s="1">
        <v>104.0</v>
      </c>
    </row>
    <row r="271" ht="13.5" customHeight="1">
      <c r="A271" s="1" t="s">
        <v>332</v>
      </c>
      <c r="B271" s="43">
        <v>176543.0</v>
      </c>
      <c r="C271" s="43">
        <v>123580.0</v>
      </c>
      <c r="D271" s="1">
        <v>103.0</v>
      </c>
    </row>
    <row r="272" ht="13.5" customHeight="1">
      <c r="A272" s="1" t="s">
        <v>352</v>
      </c>
      <c r="B272" s="43">
        <v>165432.0</v>
      </c>
      <c r="C272" s="43">
        <v>115802.0</v>
      </c>
      <c r="D272" s="1">
        <v>103.0</v>
      </c>
    </row>
    <row r="273" ht="13.5" customHeight="1">
      <c r="A273" s="1" t="s">
        <v>400</v>
      </c>
      <c r="B273" s="43">
        <v>3210987.0</v>
      </c>
      <c r="C273" s="43">
        <v>2055032.0</v>
      </c>
      <c r="D273" s="1">
        <v>103.0</v>
      </c>
    </row>
    <row r="274" ht="13.5" customHeight="1">
      <c r="A274" s="1" t="s">
        <v>409</v>
      </c>
      <c r="B274" s="43">
        <v>287654.0</v>
      </c>
      <c r="C274" s="43">
        <v>184098.0</v>
      </c>
      <c r="D274" s="1">
        <v>103.0</v>
      </c>
    </row>
    <row r="275" ht="13.5" customHeight="1">
      <c r="A275" s="1" t="s">
        <v>424</v>
      </c>
      <c r="B275" s="43">
        <v>298761.0</v>
      </c>
      <c r="C275" s="43">
        <v>191207.0</v>
      </c>
      <c r="D275" s="1">
        <v>103.0</v>
      </c>
    </row>
    <row r="276" ht="13.5" customHeight="1">
      <c r="A276" s="1" t="s">
        <v>494</v>
      </c>
      <c r="B276" s="43">
        <v>154321.0</v>
      </c>
      <c r="C276" s="43">
        <v>97222.0</v>
      </c>
      <c r="D276" s="1">
        <v>103.0</v>
      </c>
    </row>
    <row r="277" ht="13.5" customHeight="1">
      <c r="A277" s="1" t="s">
        <v>502</v>
      </c>
      <c r="B277" s="43">
        <v>87654.0</v>
      </c>
      <c r="C277" s="43">
        <v>55222.0</v>
      </c>
      <c r="D277" s="1">
        <v>103.0</v>
      </c>
    </row>
    <row r="278" ht="13.5" customHeight="1">
      <c r="A278" s="1" t="s">
        <v>535</v>
      </c>
      <c r="B278" s="43">
        <v>76543.0</v>
      </c>
      <c r="C278" s="43">
        <v>48222.0</v>
      </c>
      <c r="D278" s="1">
        <v>103.0</v>
      </c>
    </row>
    <row r="279" ht="13.5" customHeight="1">
      <c r="A279" s="1" t="s">
        <v>587</v>
      </c>
      <c r="B279" s="43">
        <v>65432.0</v>
      </c>
      <c r="C279" s="43">
        <v>41222.0</v>
      </c>
      <c r="D279" s="1">
        <v>103.0</v>
      </c>
    </row>
    <row r="280" ht="13.5" customHeight="1">
      <c r="A280" s="1" t="s">
        <v>150</v>
      </c>
      <c r="B280" s="43">
        <v>199876.0</v>
      </c>
      <c r="C280" s="43">
        <v>131918.0</v>
      </c>
      <c r="D280" s="1">
        <v>102.0</v>
      </c>
    </row>
    <row r="281" ht="13.5" customHeight="1">
      <c r="A281" s="1" t="s">
        <v>342</v>
      </c>
      <c r="B281" s="43">
        <v>165432.0</v>
      </c>
      <c r="C281" s="43">
        <v>115802.0</v>
      </c>
      <c r="D281" s="1">
        <v>102.0</v>
      </c>
    </row>
    <row r="282" ht="13.5" customHeight="1">
      <c r="A282" s="1" t="s">
        <v>393</v>
      </c>
      <c r="B282" s="43">
        <v>2345678.0</v>
      </c>
      <c r="C282" s="43">
        <v>1501234.0</v>
      </c>
      <c r="D282" s="1">
        <v>102.0</v>
      </c>
    </row>
    <row r="283" ht="13.5" customHeight="1">
      <c r="A283" s="1" t="s">
        <v>403</v>
      </c>
      <c r="B283" s="43">
        <v>2345678.0</v>
      </c>
      <c r="C283" s="43">
        <v>1501234.0</v>
      </c>
      <c r="D283" s="1">
        <v>102.0</v>
      </c>
    </row>
    <row r="284" ht="13.5" customHeight="1">
      <c r="A284" s="1" t="s">
        <v>418</v>
      </c>
      <c r="B284" s="43">
        <v>289765.0</v>
      </c>
      <c r="C284" s="43">
        <v>185450.0</v>
      </c>
      <c r="D284" s="1">
        <v>102.0</v>
      </c>
    </row>
    <row r="285" ht="13.5" customHeight="1">
      <c r="A285" s="1" t="s">
        <v>526</v>
      </c>
      <c r="B285" s="43">
        <v>76543.0</v>
      </c>
      <c r="C285" s="43">
        <v>48222.0</v>
      </c>
      <c r="D285" s="1">
        <v>102.0</v>
      </c>
    </row>
    <row r="286" ht="13.5" customHeight="1">
      <c r="A286" s="1" t="s">
        <v>578</v>
      </c>
      <c r="B286" s="43">
        <v>65432.0</v>
      </c>
      <c r="C286" s="43">
        <v>41222.0</v>
      </c>
      <c r="D286" s="1">
        <v>102.0</v>
      </c>
    </row>
    <row r="287" ht="13.5" customHeight="1">
      <c r="A287" s="1" t="s">
        <v>140</v>
      </c>
      <c r="B287" s="43">
        <v>198543.0</v>
      </c>
      <c r="C287" s="43">
        <v>131038.0</v>
      </c>
      <c r="D287" s="1">
        <v>101.0</v>
      </c>
    </row>
    <row r="288" ht="13.5" customHeight="1">
      <c r="A288" s="1" t="s">
        <v>325</v>
      </c>
      <c r="B288" s="43">
        <v>165432.0</v>
      </c>
      <c r="C288" s="43">
        <v>115802.0</v>
      </c>
      <c r="D288" s="1">
        <v>101.0</v>
      </c>
    </row>
    <row r="289" ht="13.5" customHeight="1">
      <c r="A289" s="1" t="s">
        <v>398</v>
      </c>
      <c r="B289" s="43">
        <v>2765432.0</v>
      </c>
      <c r="C289" s="43">
        <v>1769877.0</v>
      </c>
      <c r="D289" s="1">
        <v>101.0</v>
      </c>
    </row>
    <row r="290" ht="13.5" customHeight="1">
      <c r="A290" s="1" t="s">
        <v>415</v>
      </c>
      <c r="B290" s="43">
        <v>254321.0</v>
      </c>
      <c r="C290" s="43">
        <v>162766.0</v>
      </c>
      <c r="D290" s="1">
        <v>101.0</v>
      </c>
    </row>
    <row r="291" ht="13.5" customHeight="1">
      <c r="A291" s="1" t="s">
        <v>428</v>
      </c>
      <c r="B291" s="43">
        <v>278901.0</v>
      </c>
      <c r="C291" s="43">
        <v>178497.0</v>
      </c>
      <c r="D291" s="1">
        <v>101.0</v>
      </c>
    </row>
    <row r="292" ht="13.5" customHeight="1">
      <c r="A292" s="1" t="s">
        <v>477</v>
      </c>
      <c r="B292" s="43">
        <v>123456.0</v>
      </c>
      <c r="C292" s="43">
        <v>77777.0</v>
      </c>
      <c r="D292" s="1">
        <v>101.0</v>
      </c>
    </row>
    <row r="293" ht="13.5" customHeight="1">
      <c r="A293" s="1" t="s">
        <v>517</v>
      </c>
      <c r="B293" s="43">
        <v>76543.0</v>
      </c>
      <c r="C293" s="43">
        <v>48222.0</v>
      </c>
      <c r="D293" s="1">
        <v>101.0</v>
      </c>
    </row>
    <row r="294" ht="13.5" customHeight="1">
      <c r="A294" s="1" t="s">
        <v>569</v>
      </c>
      <c r="B294" s="43">
        <v>65432.0</v>
      </c>
      <c r="C294" s="43">
        <v>41222.0</v>
      </c>
      <c r="D294" s="1">
        <v>101.0</v>
      </c>
    </row>
    <row r="295" ht="13.5" customHeight="1">
      <c r="A295" s="1" t="s">
        <v>348</v>
      </c>
      <c r="B295" s="43">
        <v>154321.0</v>
      </c>
      <c r="C295" s="43">
        <v>108025.0</v>
      </c>
      <c r="D295" s="1">
        <v>100.0</v>
      </c>
    </row>
    <row r="296" ht="13.5" customHeight="1">
      <c r="A296" s="1" t="s">
        <v>422</v>
      </c>
      <c r="B296" s="43">
        <v>276543.0</v>
      </c>
      <c r="C296" s="43">
        <v>176987.0</v>
      </c>
      <c r="D296" s="1">
        <v>100.0</v>
      </c>
    </row>
    <row r="297" ht="13.5" customHeight="1">
      <c r="A297" s="1" t="s">
        <v>508</v>
      </c>
      <c r="B297" s="43">
        <v>76543.0</v>
      </c>
      <c r="C297" s="43">
        <v>48222.0</v>
      </c>
      <c r="D297" s="1">
        <v>100.0</v>
      </c>
    </row>
    <row r="298" ht="13.5" customHeight="1">
      <c r="A298" s="1" t="s">
        <v>560</v>
      </c>
      <c r="B298" s="43">
        <v>65432.0</v>
      </c>
      <c r="C298" s="43">
        <v>41222.0</v>
      </c>
      <c r="D298" s="1">
        <v>100.0</v>
      </c>
    </row>
    <row r="299" ht="13.5" customHeight="1">
      <c r="A299" s="1" t="s">
        <v>146</v>
      </c>
      <c r="B299" s="43">
        <v>187654.0</v>
      </c>
      <c r="C299" s="43">
        <v>123851.0</v>
      </c>
      <c r="D299" s="1">
        <v>99.0</v>
      </c>
    </row>
    <row r="300" ht="13.5" customHeight="1">
      <c r="A300" s="1" t="s">
        <v>264</v>
      </c>
      <c r="B300" s="43">
        <v>12345.0</v>
      </c>
      <c r="C300" s="43">
        <v>9073.0</v>
      </c>
      <c r="D300" s="1">
        <v>99.0</v>
      </c>
    </row>
    <row r="301" ht="13.5" customHeight="1">
      <c r="A301" s="1" t="s">
        <v>338</v>
      </c>
      <c r="B301" s="43">
        <v>154321.0</v>
      </c>
      <c r="C301" s="43">
        <v>108025.0</v>
      </c>
      <c r="D301" s="1">
        <v>99.0</v>
      </c>
    </row>
    <row r="302" ht="13.5" customHeight="1">
      <c r="A302" s="1" t="s">
        <v>401</v>
      </c>
      <c r="B302" s="43">
        <v>1876543.0</v>
      </c>
      <c r="C302" s="43">
        <v>1200987.0</v>
      </c>
      <c r="D302" s="1">
        <v>99.0</v>
      </c>
    </row>
    <row r="303" ht="13.5" customHeight="1">
      <c r="A303" s="1" t="s">
        <v>412</v>
      </c>
      <c r="B303" s="43">
        <v>210987.0</v>
      </c>
      <c r="C303" s="43">
        <v>135032.0</v>
      </c>
      <c r="D303" s="1">
        <v>99.0</v>
      </c>
    </row>
    <row r="304" ht="13.5" customHeight="1">
      <c r="A304" s="1" t="s">
        <v>429</v>
      </c>
      <c r="B304" s="43">
        <v>199876.0</v>
      </c>
      <c r="C304" s="43">
        <v>127921.0</v>
      </c>
      <c r="D304" s="1">
        <v>99.0</v>
      </c>
    </row>
    <row r="305" ht="13.5" customHeight="1">
      <c r="A305" s="1" t="s">
        <v>485</v>
      </c>
      <c r="B305" s="43">
        <v>143210.0</v>
      </c>
      <c r="C305" s="43">
        <v>90222.0</v>
      </c>
      <c r="D305" s="1">
        <v>99.0</v>
      </c>
    </row>
    <row r="306" ht="13.5" customHeight="1">
      <c r="A306" s="1" t="s">
        <v>551</v>
      </c>
      <c r="B306" s="43">
        <v>65432.0</v>
      </c>
      <c r="C306" s="43">
        <v>41222.0</v>
      </c>
      <c r="D306" s="1">
        <v>99.0</v>
      </c>
    </row>
    <row r="307" ht="13.5" customHeight="1">
      <c r="A307" s="1" t="s">
        <v>125</v>
      </c>
      <c r="B307" s="43">
        <v>234567.0</v>
      </c>
      <c r="C307" s="43">
        <v>154814.0</v>
      </c>
      <c r="D307" s="1">
        <v>98.0</v>
      </c>
    </row>
    <row r="308" ht="13.5" customHeight="1">
      <c r="A308" s="1" t="s">
        <v>255</v>
      </c>
      <c r="B308" s="43">
        <v>12345.0</v>
      </c>
      <c r="C308" s="43">
        <v>9073.0</v>
      </c>
      <c r="D308" s="1">
        <v>98.0</v>
      </c>
    </row>
    <row r="309" ht="13.5" customHeight="1">
      <c r="A309" s="1" t="s">
        <v>391</v>
      </c>
      <c r="B309" s="43">
        <v>1765432.0</v>
      </c>
      <c r="C309" s="43">
        <v>1129877.0</v>
      </c>
      <c r="D309" s="1">
        <v>98.0</v>
      </c>
    </row>
    <row r="310" ht="13.5" customHeight="1">
      <c r="A310" s="1" t="s">
        <v>404</v>
      </c>
      <c r="B310" s="43">
        <v>234567.0</v>
      </c>
      <c r="C310" s="43">
        <v>150123.0</v>
      </c>
      <c r="D310" s="1">
        <v>98.0</v>
      </c>
    </row>
    <row r="311" ht="13.5" customHeight="1">
      <c r="A311" s="1" t="s">
        <v>419</v>
      </c>
      <c r="B311" s="43">
        <v>198543.0</v>
      </c>
      <c r="C311" s="43">
        <v>127067.0</v>
      </c>
      <c r="D311" s="1">
        <v>98.0</v>
      </c>
    </row>
    <row r="312" ht="13.5" customHeight="1">
      <c r="A312" s="1" t="s">
        <v>451</v>
      </c>
      <c r="B312" s="43">
        <v>98765.0</v>
      </c>
      <c r="C312" s="43">
        <v>63210.0</v>
      </c>
      <c r="D312" s="1">
        <v>98.0</v>
      </c>
    </row>
    <row r="313" ht="13.5" customHeight="1">
      <c r="A313" s="1" t="s">
        <v>492</v>
      </c>
      <c r="B313" s="43">
        <v>134567.0</v>
      </c>
      <c r="C313" s="43">
        <v>84777.0</v>
      </c>
      <c r="D313" s="1">
        <v>98.0</v>
      </c>
    </row>
    <row r="314" ht="13.5" customHeight="1">
      <c r="A314" s="1" t="s">
        <v>542</v>
      </c>
      <c r="B314" s="43">
        <v>65432.0</v>
      </c>
      <c r="C314" s="43">
        <v>41222.0</v>
      </c>
      <c r="D314" s="1">
        <v>98.0</v>
      </c>
    </row>
    <row r="315" ht="13.5" customHeight="1">
      <c r="A315" s="1" t="s">
        <v>273</v>
      </c>
      <c r="B315" s="43">
        <v>12345.0</v>
      </c>
      <c r="C315" s="43">
        <v>9073.0</v>
      </c>
      <c r="D315" s="1">
        <v>97.0</v>
      </c>
    </row>
    <row r="316" ht="13.5" customHeight="1">
      <c r="A316" s="1" t="s">
        <v>346</v>
      </c>
      <c r="B316" s="43">
        <v>134567.0</v>
      </c>
      <c r="C316" s="43">
        <v>94197.0</v>
      </c>
      <c r="D316" s="1">
        <v>97.0</v>
      </c>
    </row>
    <row r="317" ht="13.5" customHeight="1">
      <c r="A317" s="1" t="s">
        <v>396</v>
      </c>
      <c r="B317" s="43">
        <v>1987654.0</v>
      </c>
      <c r="C317" s="43">
        <v>1272098.0</v>
      </c>
      <c r="D317" s="1">
        <v>97.0</v>
      </c>
    </row>
    <row r="318" ht="13.5" customHeight="1">
      <c r="A318" s="1" t="s">
        <v>408</v>
      </c>
      <c r="B318" s="43">
        <v>198765.0</v>
      </c>
      <c r="C318" s="43">
        <v>127210.0</v>
      </c>
      <c r="D318" s="1">
        <v>97.0</v>
      </c>
    </row>
    <row r="319" ht="13.5" customHeight="1">
      <c r="A319" s="1" t="s">
        <v>425</v>
      </c>
      <c r="B319" s="43">
        <v>187654.0</v>
      </c>
      <c r="C319" s="43">
        <v>120098.0</v>
      </c>
      <c r="D319" s="1">
        <v>97.0</v>
      </c>
    </row>
    <row r="320" ht="13.5" customHeight="1">
      <c r="A320" s="1" t="s">
        <v>442</v>
      </c>
      <c r="B320" s="43">
        <v>98765.0</v>
      </c>
      <c r="C320" s="43">
        <v>63210.0</v>
      </c>
      <c r="D320" s="1">
        <v>97.0</v>
      </c>
    </row>
    <row r="321" ht="13.5" customHeight="1">
      <c r="A321" s="1" t="s">
        <v>533</v>
      </c>
      <c r="B321" s="43">
        <v>65432.0</v>
      </c>
      <c r="C321" s="43">
        <v>41222.0</v>
      </c>
      <c r="D321" s="1">
        <v>97.0</v>
      </c>
    </row>
    <row r="322" ht="13.5" customHeight="1">
      <c r="A322" s="1" t="s">
        <v>138</v>
      </c>
      <c r="B322" s="43">
        <v>176543.0</v>
      </c>
      <c r="C322" s="43">
        <v>116518.0</v>
      </c>
      <c r="D322" s="1">
        <v>96.0</v>
      </c>
    </row>
    <row r="323" ht="13.5" customHeight="1">
      <c r="A323" s="1" t="s">
        <v>282</v>
      </c>
      <c r="B323" s="43">
        <v>12345.0</v>
      </c>
      <c r="C323" s="43">
        <v>9073.0</v>
      </c>
      <c r="D323" s="1">
        <v>96.0</v>
      </c>
    </row>
    <row r="324" ht="13.5" customHeight="1">
      <c r="A324" s="1" t="s">
        <v>329</v>
      </c>
      <c r="B324" s="43">
        <v>143210.0</v>
      </c>
      <c r="C324" s="43">
        <v>100247.0</v>
      </c>
      <c r="D324" s="1">
        <v>96.0</v>
      </c>
    </row>
    <row r="325" ht="13.5" customHeight="1">
      <c r="A325" s="1" t="s">
        <v>417</v>
      </c>
      <c r="B325" s="43">
        <v>176543.0</v>
      </c>
      <c r="C325" s="43">
        <v>112987.0</v>
      </c>
      <c r="D325" s="1">
        <v>96.0</v>
      </c>
    </row>
    <row r="326" ht="13.5" customHeight="1">
      <c r="A326" s="1" t="s">
        <v>427</v>
      </c>
      <c r="B326" s="43">
        <v>165432.0</v>
      </c>
      <c r="C326" s="43">
        <v>105877.0</v>
      </c>
      <c r="D326" s="1">
        <v>96.0</v>
      </c>
    </row>
    <row r="327" ht="13.5" customHeight="1">
      <c r="A327" s="1" t="s">
        <v>433</v>
      </c>
      <c r="B327" s="43">
        <v>98765.0</v>
      </c>
      <c r="C327" s="43">
        <v>63210.0</v>
      </c>
      <c r="D327" s="1">
        <v>96.0</v>
      </c>
    </row>
    <row r="328" ht="13.5" customHeight="1">
      <c r="A328" s="1" t="s">
        <v>524</v>
      </c>
      <c r="B328" s="43">
        <v>65432.0</v>
      </c>
      <c r="C328" s="43">
        <v>41222.0</v>
      </c>
      <c r="D328" s="1">
        <v>96.0</v>
      </c>
    </row>
    <row r="329" ht="13.5" customHeight="1">
      <c r="A329" s="1" t="s">
        <v>148</v>
      </c>
      <c r="B329" s="43">
        <v>165432.0</v>
      </c>
      <c r="C329" s="43">
        <v>109185.0</v>
      </c>
      <c r="D329" s="1">
        <v>95.0</v>
      </c>
    </row>
    <row r="330" ht="13.5" customHeight="1">
      <c r="A330" s="1" t="s">
        <v>321</v>
      </c>
      <c r="B330" s="43">
        <v>123456.0</v>
      </c>
      <c r="C330" s="43">
        <v>86419.0</v>
      </c>
      <c r="D330" s="1">
        <v>95.0</v>
      </c>
    </row>
    <row r="331" ht="13.5" customHeight="1">
      <c r="A331" s="1" t="s">
        <v>410</v>
      </c>
      <c r="B331" s="43">
        <v>165432.0</v>
      </c>
      <c r="C331" s="43">
        <v>105877.0</v>
      </c>
      <c r="D331" s="1">
        <v>95.0</v>
      </c>
    </row>
    <row r="332" ht="13.5" customHeight="1">
      <c r="A332" s="1" t="s">
        <v>423</v>
      </c>
      <c r="B332" s="43">
        <v>154321.0</v>
      </c>
      <c r="C332" s="43">
        <v>98766.0</v>
      </c>
      <c r="D332" s="1">
        <v>95.0</v>
      </c>
    </row>
    <row r="333" ht="13.5" customHeight="1">
      <c r="A333" s="1" t="s">
        <v>458</v>
      </c>
      <c r="B333" s="43">
        <v>87654.0</v>
      </c>
      <c r="C333" s="43">
        <v>56098.0</v>
      </c>
      <c r="D333" s="1">
        <v>95.0</v>
      </c>
    </row>
    <row r="334" ht="13.5" customHeight="1">
      <c r="A334" s="1" t="s">
        <v>506</v>
      </c>
      <c r="B334" s="43">
        <v>65432.0</v>
      </c>
      <c r="C334" s="43">
        <v>41222.0</v>
      </c>
      <c r="D334" s="1">
        <v>95.0</v>
      </c>
    </row>
    <row r="335" ht="13.5" customHeight="1">
      <c r="A335" s="1" t="s">
        <v>604</v>
      </c>
      <c r="B335" s="43">
        <v>34567.0</v>
      </c>
      <c r="C335" s="43">
        <v>21777.0</v>
      </c>
      <c r="D335" s="1">
        <v>95.0</v>
      </c>
    </row>
    <row r="336" ht="13.5" customHeight="1">
      <c r="A336" s="1" t="s">
        <v>144</v>
      </c>
      <c r="B336" s="43">
        <v>154321.0</v>
      </c>
      <c r="C336" s="43">
        <v>101852.0</v>
      </c>
      <c r="D336" s="1">
        <v>94.0</v>
      </c>
    </row>
    <row r="337" ht="13.5" customHeight="1">
      <c r="A337" s="1" t="s">
        <v>336</v>
      </c>
      <c r="B337" s="43">
        <v>134567.0</v>
      </c>
      <c r="C337" s="43">
        <v>94197.0</v>
      </c>
      <c r="D337" s="1">
        <v>94.0</v>
      </c>
    </row>
    <row r="338" ht="13.5" customHeight="1">
      <c r="A338" s="1" t="s">
        <v>385</v>
      </c>
      <c r="B338" s="43">
        <v>98765.0</v>
      </c>
      <c r="C338" s="43">
        <v>69136.0</v>
      </c>
      <c r="D338" s="1">
        <v>94.0</v>
      </c>
    </row>
    <row r="339" ht="13.5" customHeight="1">
      <c r="A339" s="1" t="s">
        <v>421</v>
      </c>
      <c r="B339" s="43">
        <v>134567.0</v>
      </c>
      <c r="C339" s="43">
        <v>86123.0</v>
      </c>
      <c r="D339" s="1">
        <v>94.0</v>
      </c>
    </row>
    <row r="340" ht="13.5" customHeight="1">
      <c r="A340" s="1" t="s">
        <v>449</v>
      </c>
      <c r="B340" s="43">
        <v>87654.0</v>
      </c>
      <c r="C340" s="43">
        <v>56098.0</v>
      </c>
      <c r="D340" s="1">
        <v>94.0</v>
      </c>
    </row>
    <row r="341" ht="13.5" customHeight="1">
      <c r="A341" s="1" t="s">
        <v>515</v>
      </c>
      <c r="B341" s="43">
        <v>65432.0</v>
      </c>
      <c r="C341" s="43">
        <v>41222.0</v>
      </c>
      <c r="D341" s="1">
        <v>94.0</v>
      </c>
    </row>
    <row r="342" ht="13.5" customHeight="1">
      <c r="A342" s="1" t="s">
        <v>595</v>
      </c>
      <c r="B342" s="43">
        <v>34567.0</v>
      </c>
      <c r="C342" s="43">
        <v>21777.0</v>
      </c>
      <c r="D342" s="1">
        <v>94.0</v>
      </c>
    </row>
    <row r="343" ht="13.5" customHeight="1">
      <c r="A343" s="1" t="s">
        <v>131</v>
      </c>
      <c r="B343" s="43">
        <v>165432.0</v>
      </c>
      <c r="C343" s="43">
        <v>109185.0</v>
      </c>
      <c r="D343" s="1">
        <v>93.0</v>
      </c>
    </row>
    <row r="344" ht="13.5" customHeight="1">
      <c r="A344" s="1" t="s">
        <v>376</v>
      </c>
      <c r="B344" s="43">
        <v>98765.0</v>
      </c>
      <c r="C344" s="43">
        <v>69136.0</v>
      </c>
      <c r="D344" s="1">
        <v>93.0</v>
      </c>
    </row>
    <row r="345" ht="13.5" customHeight="1">
      <c r="A345" s="1" t="s">
        <v>406</v>
      </c>
      <c r="B345" s="43">
        <v>123456.0</v>
      </c>
      <c r="C345" s="43">
        <v>79012.0</v>
      </c>
      <c r="D345" s="1">
        <v>93.0</v>
      </c>
    </row>
    <row r="346" ht="13.5" customHeight="1">
      <c r="A346" s="1" t="s">
        <v>440</v>
      </c>
      <c r="B346" s="43">
        <v>87654.0</v>
      </c>
      <c r="C346" s="43">
        <v>56098.0</v>
      </c>
      <c r="D346" s="1">
        <v>93.0</v>
      </c>
    </row>
    <row r="347" ht="13.5" customHeight="1">
      <c r="A347" s="1" t="s">
        <v>519</v>
      </c>
      <c r="B347" s="43">
        <v>56789.0</v>
      </c>
      <c r="C347" s="43">
        <v>35777.0</v>
      </c>
      <c r="D347" s="1">
        <v>93.0</v>
      </c>
    </row>
    <row r="348" ht="13.5" customHeight="1">
      <c r="A348" s="1" t="s">
        <v>586</v>
      </c>
      <c r="B348" s="43">
        <v>34567.0</v>
      </c>
      <c r="C348" s="43">
        <v>21777.0</v>
      </c>
      <c r="D348" s="1">
        <v>93.0</v>
      </c>
    </row>
    <row r="349" ht="13.5" customHeight="1">
      <c r="A349" s="1" t="s">
        <v>367</v>
      </c>
      <c r="B349" s="43">
        <v>98765.0</v>
      </c>
      <c r="C349" s="43">
        <v>69136.0</v>
      </c>
      <c r="D349" s="1">
        <v>92.0</v>
      </c>
    </row>
    <row r="350" ht="13.5" customHeight="1">
      <c r="A350" s="1" t="s">
        <v>414</v>
      </c>
      <c r="B350" s="43">
        <v>143210.0</v>
      </c>
      <c r="C350" s="43">
        <v>91654.0</v>
      </c>
      <c r="D350" s="1">
        <v>92.0</v>
      </c>
    </row>
    <row r="351" ht="13.5" customHeight="1">
      <c r="A351" s="1" t="s">
        <v>431</v>
      </c>
      <c r="B351" s="43">
        <v>87654.0</v>
      </c>
      <c r="C351" s="43">
        <v>56098.0</v>
      </c>
      <c r="D351" s="1">
        <v>92.0</v>
      </c>
    </row>
    <row r="352" ht="13.5" customHeight="1">
      <c r="A352" s="1" t="s">
        <v>455</v>
      </c>
      <c r="B352" s="43">
        <v>76543.0</v>
      </c>
      <c r="C352" s="43">
        <v>48987.0</v>
      </c>
      <c r="D352" s="1">
        <v>92.0</v>
      </c>
    </row>
    <row r="353" ht="13.5" customHeight="1">
      <c r="A353" s="1" t="s">
        <v>510</v>
      </c>
      <c r="B353" s="43">
        <v>56789.0</v>
      </c>
      <c r="C353" s="43">
        <v>35777.0</v>
      </c>
      <c r="D353" s="1">
        <v>92.0</v>
      </c>
    </row>
    <row r="354" ht="13.5" customHeight="1">
      <c r="A354" s="1" t="s">
        <v>577</v>
      </c>
      <c r="B354" s="43">
        <v>34567.0</v>
      </c>
      <c r="C354" s="43">
        <v>21777.0</v>
      </c>
      <c r="D354" s="1">
        <v>92.0</v>
      </c>
    </row>
    <row r="355" ht="13.5" customHeight="1">
      <c r="A355" s="1" t="s">
        <v>608</v>
      </c>
      <c r="B355" s="43">
        <v>43210.0</v>
      </c>
      <c r="C355" s="43">
        <v>27222.0</v>
      </c>
      <c r="D355" s="1">
        <v>92.0</v>
      </c>
    </row>
    <row r="356" ht="13.5" customHeight="1">
      <c r="A356" s="1" t="s">
        <v>142</v>
      </c>
      <c r="B356" s="43">
        <v>134567.0</v>
      </c>
      <c r="C356" s="43">
        <v>88814.0</v>
      </c>
      <c r="D356" s="1">
        <v>91.0</v>
      </c>
    </row>
    <row r="357" ht="13.5" customHeight="1">
      <c r="A357" s="1" t="s">
        <v>358</v>
      </c>
      <c r="B357" s="43">
        <v>98765.0</v>
      </c>
      <c r="C357" s="43">
        <v>69136.0</v>
      </c>
      <c r="D357" s="1">
        <v>91.0</v>
      </c>
    </row>
    <row r="358" ht="13.5" customHeight="1">
      <c r="A358" s="1" t="s">
        <v>446</v>
      </c>
      <c r="B358" s="43">
        <v>76543.0</v>
      </c>
      <c r="C358" s="43">
        <v>48987.0</v>
      </c>
      <c r="D358" s="1">
        <v>91.0</v>
      </c>
    </row>
    <row r="359" ht="13.5" customHeight="1">
      <c r="A359" s="1" t="s">
        <v>528</v>
      </c>
      <c r="B359" s="43">
        <v>56789.0</v>
      </c>
      <c r="C359" s="43">
        <v>35777.0</v>
      </c>
      <c r="D359" s="1">
        <v>91.0</v>
      </c>
    </row>
    <row r="360" ht="13.5" customHeight="1">
      <c r="A360" s="1" t="s">
        <v>568</v>
      </c>
      <c r="B360" s="43">
        <v>34567.0</v>
      </c>
      <c r="C360" s="43">
        <v>21777.0</v>
      </c>
      <c r="D360" s="1">
        <v>91.0</v>
      </c>
    </row>
    <row r="361" ht="13.5" customHeight="1">
      <c r="A361" s="1" t="s">
        <v>599</v>
      </c>
      <c r="B361" s="43">
        <v>43210.0</v>
      </c>
      <c r="C361" s="43">
        <v>27222.0</v>
      </c>
      <c r="D361" s="1">
        <v>91.0</v>
      </c>
    </row>
    <row r="362" ht="13.5" customHeight="1">
      <c r="A362" s="1" t="s">
        <v>437</v>
      </c>
      <c r="B362" s="43">
        <v>76543.0</v>
      </c>
      <c r="C362" s="43">
        <v>48987.0</v>
      </c>
      <c r="D362" s="1">
        <v>90.0</v>
      </c>
    </row>
    <row r="363" ht="13.5" customHeight="1">
      <c r="A363" s="1" t="s">
        <v>453</v>
      </c>
      <c r="B363" s="43">
        <v>65432.0</v>
      </c>
      <c r="C363" s="43">
        <v>41877.0</v>
      </c>
      <c r="D363" s="1">
        <v>90.0</v>
      </c>
    </row>
    <row r="364" ht="13.5" customHeight="1">
      <c r="A364" s="1" t="s">
        <v>537</v>
      </c>
      <c r="B364" s="43">
        <v>56789.0</v>
      </c>
      <c r="C364" s="43">
        <v>35777.0</v>
      </c>
      <c r="D364" s="1">
        <v>90.0</v>
      </c>
    </row>
    <row r="365" ht="13.5" customHeight="1">
      <c r="A365" s="1" t="s">
        <v>559</v>
      </c>
      <c r="B365" s="43">
        <v>34567.0</v>
      </c>
      <c r="C365" s="43">
        <v>21777.0</v>
      </c>
      <c r="D365" s="1">
        <v>90.0</v>
      </c>
    </row>
    <row r="366" ht="13.5" customHeight="1">
      <c r="A366" s="1" t="s">
        <v>590</v>
      </c>
      <c r="B366" s="43">
        <v>43210.0</v>
      </c>
      <c r="C366" s="43">
        <v>27222.0</v>
      </c>
      <c r="D366" s="1">
        <v>90.0</v>
      </c>
    </row>
    <row r="367" ht="13.5" customHeight="1">
      <c r="A367" s="1" t="s">
        <v>135</v>
      </c>
      <c r="B367" s="43">
        <v>143210.0</v>
      </c>
      <c r="C367" s="43">
        <v>94519.0</v>
      </c>
      <c r="D367" s="1">
        <v>89.0</v>
      </c>
    </row>
    <row r="368" ht="13.5" customHeight="1">
      <c r="A368" s="1" t="s">
        <v>154</v>
      </c>
      <c r="B368" s="43">
        <v>98765.0</v>
      </c>
      <c r="C368" s="43">
        <v>65185.0</v>
      </c>
      <c r="D368" s="1">
        <v>89.0</v>
      </c>
    </row>
    <row r="369" ht="13.5" customHeight="1">
      <c r="A369" s="1" t="s">
        <v>383</v>
      </c>
      <c r="B369" s="43">
        <v>87654.0</v>
      </c>
      <c r="C369" s="43">
        <v>61358.0</v>
      </c>
      <c r="D369" s="1">
        <v>89.0</v>
      </c>
    </row>
    <row r="370" ht="13.5" customHeight="1">
      <c r="A370" s="1" t="s">
        <v>444</v>
      </c>
      <c r="B370" s="43">
        <v>65432.0</v>
      </c>
      <c r="C370" s="43">
        <v>41877.0</v>
      </c>
      <c r="D370" s="1">
        <v>89.0</v>
      </c>
    </row>
    <row r="371" ht="13.5" customHeight="1">
      <c r="A371" s="1" t="s">
        <v>501</v>
      </c>
      <c r="B371" s="43">
        <v>54321.0</v>
      </c>
      <c r="C371" s="43">
        <v>34222.0</v>
      </c>
      <c r="D371" s="1">
        <v>89.0</v>
      </c>
    </row>
    <row r="372" ht="13.5" customHeight="1">
      <c r="A372" s="1" t="s">
        <v>546</v>
      </c>
      <c r="B372" s="43">
        <v>56789.0</v>
      </c>
      <c r="C372" s="43">
        <v>35777.0</v>
      </c>
      <c r="D372" s="1">
        <v>89.0</v>
      </c>
    </row>
    <row r="373" ht="13.5" customHeight="1">
      <c r="A373" s="1" t="s">
        <v>550</v>
      </c>
      <c r="B373" s="43">
        <v>34567.0</v>
      </c>
      <c r="C373" s="43">
        <v>21777.0</v>
      </c>
      <c r="D373" s="1">
        <v>89.0</v>
      </c>
    </row>
    <row r="374" ht="13.5" customHeight="1">
      <c r="A374" s="1" t="s">
        <v>581</v>
      </c>
      <c r="B374" s="43">
        <v>43210.0</v>
      </c>
      <c r="C374" s="43">
        <v>27222.0</v>
      </c>
      <c r="D374" s="1">
        <v>89.0</v>
      </c>
    </row>
    <row r="375" ht="13.5" customHeight="1">
      <c r="A375" s="1" t="s">
        <v>181</v>
      </c>
      <c r="B375" s="43">
        <v>98765.0</v>
      </c>
      <c r="C375" s="43">
        <v>65185.0</v>
      </c>
      <c r="D375" s="1">
        <v>88.0</v>
      </c>
    </row>
    <row r="376" ht="13.5" customHeight="1">
      <c r="A376" s="1" t="s">
        <v>374</v>
      </c>
      <c r="B376" s="43">
        <v>87654.0</v>
      </c>
      <c r="C376" s="43">
        <v>61358.0</v>
      </c>
      <c r="D376" s="1">
        <v>88.0</v>
      </c>
    </row>
    <row r="377" ht="13.5" customHeight="1">
      <c r="A377" s="1" t="s">
        <v>435</v>
      </c>
      <c r="B377" s="43">
        <v>65432.0</v>
      </c>
      <c r="C377" s="43">
        <v>41877.0</v>
      </c>
      <c r="D377" s="1">
        <v>88.0</v>
      </c>
    </row>
    <row r="378" ht="13.5" customHeight="1">
      <c r="A378" s="1" t="s">
        <v>541</v>
      </c>
      <c r="B378" s="43">
        <v>34567.0</v>
      </c>
      <c r="C378" s="43">
        <v>21777.0</v>
      </c>
      <c r="D378" s="1">
        <v>88.0</v>
      </c>
    </row>
    <row r="379" ht="13.5" customHeight="1">
      <c r="A379" s="1" t="s">
        <v>555</v>
      </c>
      <c r="B379" s="43">
        <v>56789.0</v>
      </c>
      <c r="C379" s="43">
        <v>35777.0</v>
      </c>
      <c r="D379" s="1">
        <v>88.0</v>
      </c>
    </row>
    <row r="380" ht="13.5" customHeight="1">
      <c r="A380" s="1" t="s">
        <v>572</v>
      </c>
      <c r="B380" s="43">
        <v>43210.0</v>
      </c>
      <c r="C380" s="43">
        <v>27222.0</v>
      </c>
      <c r="D380" s="1">
        <v>88.0</v>
      </c>
    </row>
    <row r="381" ht="13.5" customHeight="1">
      <c r="A381" s="1" t="s">
        <v>127</v>
      </c>
      <c r="B381" s="43">
        <v>123456.0</v>
      </c>
      <c r="C381" s="43">
        <v>81481.0</v>
      </c>
      <c r="D381" s="1">
        <v>87.0</v>
      </c>
    </row>
    <row r="382" ht="13.5" customHeight="1">
      <c r="A382" s="1" t="s">
        <v>163</v>
      </c>
      <c r="B382" s="43">
        <v>98765.0</v>
      </c>
      <c r="C382" s="43">
        <v>65185.0</v>
      </c>
      <c r="D382" s="1">
        <v>87.0</v>
      </c>
    </row>
    <row r="383" ht="13.5" customHeight="1">
      <c r="A383" s="1" t="s">
        <v>365</v>
      </c>
      <c r="B383" s="43">
        <v>87654.0</v>
      </c>
      <c r="C383" s="43">
        <v>61358.0</v>
      </c>
      <c r="D383" s="1">
        <v>87.0</v>
      </c>
    </row>
    <row r="384" ht="13.5" customHeight="1">
      <c r="A384" s="1" t="s">
        <v>448</v>
      </c>
      <c r="B384" s="43">
        <v>56789.0</v>
      </c>
      <c r="C384" s="43">
        <v>36345.0</v>
      </c>
      <c r="D384" s="1">
        <v>87.0</v>
      </c>
    </row>
    <row r="385" ht="13.5" customHeight="1">
      <c r="A385" s="1" t="s">
        <v>532</v>
      </c>
      <c r="B385" s="43">
        <v>34567.0</v>
      </c>
      <c r="C385" s="43">
        <v>21777.0</v>
      </c>
      <c r="D385" s="1">
        <v>87.0</v>
      </c>
    </row>
    <row r="386" ht="13.5" customHeight="1">
      <c r="A386" s="1" t="s">
        <v>563</v>
      </c>
      <c r="B386" s="43">
        <v>43210.0</v>
      </c>
      <c r="C386" s="43">
        <v>27222.0</v>
      </c>
      <c r="D386" s="1">
        <v>87.0</v>
      </c>
    </row>
    <row r="387" ht="13.5" customHeight="1">
      <c r="A387" s="1" t="s">
        <v>564</v>
      </c>
      <c r="B387" s="43">
        <v>56789.0</v>
      </c>
      <c r="C387" s="43">
        <v>35777.0</v>
      </c>
      <c r="D387" s="1">
        <v>87.0</v>
      </c>
    </row>
    <row r="388" ht="13.5" customHeight="1">
      <c r="A388" s="1" t="s">
        <v>172</v>
      </c>
      <c r="B388" s="43">
        <v>98765.0</v>
      </c>
      <c r="C388" s="43">
        <v>65185.0</v>
      </c>
      <c r="D388" s="1">
        <v>86.0</v>
      </c>
    </row>
    <row r="389" ht="13.5" customHeight="1">
      <c r="A389" s="1" t="s">
        <v>356</v>
      </c>
      <c r="B389" s="43">
        <v>87654.0</v>
      </c>
      <c r="C389" s="43">
        <v>61358.0</v>
      </c>
      <c r="D389" s="1">
        <v>86.0</v>
      </c>
    </row>
    <row r="390" ht="13.5" customHeight="1">
      <c r="A390" s="1" t="s">
        <v>439</v>
      </c>
      <c r="B390" s="43">
        <v>56789.0</v>
      </c>
      <c r="C390" s="43">
        <v>36345.0</v>
      </c>
      <c r="D390" s="1">
        <v>86.0</v>
      </c>
    </row>
    <row r="391" ht="13.5" customHeight="1">
      <c r="A391" s="1" t="s">
        <v>523</v>
      </c>
      <c r="B391" s="43">
        <v>34567.0</v>
      </c>
      <c r="C391" s="43">
        <v>21777.0</v>
      </c>
      <c r="D391" s="1">
        <v>86.0</v>
      </c>
    </row>
    <row r="392" ht="13.5" customHeight="1">
      <c r="A392" s="1" t="s">
        <v>554</v>
      </c>
      <c r="B392" s="43">
        <v>43210.0</v>
      </c>
      <c r="C392" s="43">
        <v>27222.0</v>
      </c>
      <c r="D392" s="1">
        <v>86.0</v>
      </c>
    </row>
    <row r="393" ht="13.5" customHeight="1">
      <c r="A393" s="1" t="s">
        <v>573</v>
      </c>
      <c r="B393" s="43">
        <v>56789.0</v>
      </c>
      <c r="C393" s="43">
        <v>35777.0</v>
      </c>
      <c r="D393" s="1">
        <v>86.0</v>
      </c>
    </row>
    <row r="394" ht="13.5" customHeight="1">
      <c r="A394" s="1" t="s">
        <v>188</v>
      </c>
      <c r="B394" s="43">
        <v>87654.0</v>
      </c>
      <c r="C394" s="43">
        <v>57851.0</v>
      </c>
      <c r="D394" s="1">
        <v>85.0</v>
      </c>
    </row>
    <row r="395" ht="13.5" customHeight="1">
      <c r="A395" s="1" t="s">
        <v>380</v>
      </c>
      <c r="B395" s="43">
        <v>76543.0</v>
      </c>
      <c r="C395" s="43">
        <v>53580.0</v>
      </c>
      <c r="D395" s="1">
        <v>85.0</v>
      </c>
    </row>
    <row r="396" ht="13.5" customHeight="1">
      <c r="A396" s="1" t="s">
        <v>430</v>
      </c>
      <c r="B396" s="43">
        <v>54321.0</v>
      </c>
      <c r="C396" s="43">
        <v>34766.0</v>
      </c>
      <c r="D396" s="1">
        <v>85.0</v>
      </c>
    </row>
    <row r="397" ht="13.5" customHeight="1">
      <c r="A397" s="1" t="s">
        <v>514</v>
      </c>
      <c r="B397" s="43">
        <v>34567.0</v>
      </c>
      <c r="C397" s="43">
        <v>21777.0</v>
      </c>
      <c r="D397" s="1">
        <v>85.0</v>
      </c>
    </row>
    <row r="398" ht="13.5" customHeight="1">
      <c r="A398" s="1" t="s">
        <v>545</v>
      </c>
      <c r="B398" s="43">
        <v>43210.0</v>
      </c>
      <c r="C398" s="43">
        <v>27222.0</v>
      </c>
      <c r="D398" s="1">
        <v>85.0</v>
      </c>
    </row>
    <row r="399" ht="13.5" customHeight="1">
      <c r="A399" s="1" t="s">
        <v>582</v>
      </c>
      <c r="B399" s="43">
        <v>56789.0</v>
      </c>
      <c r="C399" s="43">
        <v>35777.0</v>
      </c>
      <c r="D399" s="1">
        <v>85.0</v>
      </c>
    </row>
    <row r="400" ht="13.5" customHeight="1">
      <c r="A400" s="1" t="s">
        <v>179</v>
      </c>
      <c r="B400" s="43">
        <v>87654.0</v>
      </c>
      <c r="C400" s="43">
        <v>57851.0</v>
      </c>
      <c r="D400" s="1">
        <v>84.0</v>
      </c>
    </row>
    <row r="401" ht="13.5" customHeight="1">
      <c r="A401" s="1" t="s">
        <v>371</v>
      </c>
      <c r="B401" s="43">
        <v>76543.0</v>
      </c>
      <c r="C401" s="43">
        <v>53580.0</v>
      </c>
      <c r="D401" s="1">
        <v>84.0</v>
      </c>
    </row>
    <row r="402" ht="13.5" customHeight="1">
      <c r="A402" s="1" t="s">
        <v>457</v>
      </c>
      <c r="B402" s="43">
        <v>56789.0</v>
      </c>
      <c r="C402" s="43">
        <v>36345.0</v>
      </c>
      <c r="D402" s="1">
        <v>84.0</v>
      </c>
    </row>
    <row r="403" ht="13.5" customHeight="1">
      <c r="A403" s="1" t="s">
        <v>505</v>
      </c>
      <c r="B403" s="43">
        <v>34567.0</v>
      </c>
      <c r="C403" s="43">
        <v>21777.0</v>
      </c>
      <c r="D403" s="1">
        <v>84.0</v>
      </c>
    </row>
    <row r="404" ht="13.5" customHeight="1">
      <c r="A404" s="1" t="s">
        <v>536</v>
      </c>
      <c r="B404" s="43">
        <v>43210.0</v>
      </c>
      <c r="C404" s="43">
        <v>27222.0</v>
      </c>
      <c r="D404" s="1">
        <v>84.0</v>
      </c>
    </row>
    <row r="405" ht="13.5" customHeight="1">
      <c r="A405" s="1" t="s">
        <v>591</v>
      </c>
      <c r="B405" s="43">
        <v>56789.0</v>
      </c>
      <c r="C405" s="43">
        <v>35777.0</v>
      </c>
      <c r="D405" s="1">
        <v>84.0</v>
      </c>
    </row>
    <row r="406" ht="13.5" customHeight="1">
      <c r="A406" s="1" t="s">
        <v>170</v>
      </c>
      <c r="B406" s="43">
        <v>87654.0</v>
      </c>
      <c r="C406" s="43">
        <v>57851.0</v>
      </c>
      <c r="D406" s="1">
        <v>83.0</v>
      </c>
    </row>
    <row r="407" ht="13.5" customHeight="1">
      <c r="A407" s="1" t="s">
        <v>362</v>
      </c>
      <c r="B407" s="43">
        <v>76543.0</v>
      </c>
      <c r="C407" s="43">
        <v>53580.0</v>
      </c>
      <c r="D407" s="1">
        <v>83.0</v>
      </c>
    </row>
    <row r="408" ht="13.5" customHeight="1">
      <c r="A408" s="1" t="s">
        <v>452</v>
      </c>
      <c r="B408" s="43">
        <v>34567.0</v>
      </c>
      <c r="C408" s="43">
        <v>22123.0</v>
      </c>
      <c r="D408" s="1">
        <v>83.0</v>
      </c>
    </row>
    <row r="409" ht="13.5" customHeight="1">
      <c r="A409" s="1" t="s">
        <v>527</v>
      </c>
      <c r="B409" s="43">
        <v>43210.0</v>
      </c>
      <c r="C409" s="43">
        <v>27222.0</v>
      </c>
      <c r="D409" s="1">
        <v>83.0</v>
      </c>
    </row>
    <row r="410" ht="13.5" customHeight="1">
      <c r="A410" s="1" t="s">
        <v>600</v>
      </c>
      <c r="B410" s="43">
        <v>56789.0</v>
      </c>
      <c r="C410" s="43">
        <v>35777.0</v>
      </c>
      <c r="D410" s="1">
        <v>83.0</v>
      </c>
    </row>
    <row r="411" ht="13.5" customHeight="1">
      <c r="A411" s="1" t="s">
        <v>161</v>
      </c>
      <c r="B411" s="43">
        <v>87654.0</v>
      </c>
      <c r="C411" s="43">
        <v>57851.0</v>
      </c>
      <c r="D411" s="1">
        <v>82.0</v>
      </c>
    </row>
    <row r="412" ht="13.5" customHeight="1">
      <c r="A412" s="1" t="s">
        <v>443</v>
      </c>
      <c r="B412" s="43">
        <v>34567.0</v>
      </c>
      <c r="C412" s="43">
        <v>22123.0</v>
      </c>
      <c r="D412" s="1">
        <v>82.0</v>
      </c>
    </row>
    <row r="413" ht="13.5" customHeight="1">
      <c r="A413" s="1" t="s">
        <v>518</v>
      </c>
      <c r="B413" s="43">
        <v>43210.0</v>
      </c>
      <c r="C413" s="43">
        <v>27222.0</v>
      </c>
      <c r="D413" s="1">
        <v>82.0</v>
      </c>
    </row>
    <row r="414" ht="13.5" customHeight="1">
      <c r="A414" s="1" t="s">
        <v>152</v>
      </c>
      <c r="B414" s="43">
        <v>87654.0</v>
      </c>
      <c r="C414" s="43">
        <v>57851.0</v>
      </c>
      <c r="D414" s="1">
        <v>81.0</v>
      </c>
    </row>
    <row r="415" ht="13.5" customHeight="1">
      <c r="A415" s="1" t="s">
        <v>434</v>
      </c>
      <c r="B415" s="43">
        <v>34567.0</v>
      </c>
      <c r="C415" s="43">
        <v>22123.0</v>
      </c>
      <c r="D415" s="1">
        <v>81.0</v>
      </c>
    </row>
    <row r="416" ht="13.5" customHeight="1">
      <c r="A416" s="1" t="s">
        <v>509</v>
      </c>
      <c r="B416" s="43">
        <v>43210.0</v>
      </c>
      <c r="C416" s="43">
        <v>27222.0</v>
      </c>
      <c r="D416" s="1">
        <v>81.0</v>
      </c>
    </row>
    <row r="417" ht="13.5" customHeight="1">
      <c r="A417" s="1" t="s">
        <v>185</v>
      </c>
      <c r="B417" s="43">
        <v>76543.0</v>
      </c>
      <c r="C417" s="43">
        <v>50518.0</v>
      </c>
      <c r="D417" s="1">
        <v>80.0</v>
      </c>
    </row>
    <row r="418" ht="13.5" customHeight="1">
      <c r="A418" s="1" t="s">
        <v>456</v>
      </c>
      <c r="B418" s="43">
        <v>43210.0</v>
      </c>
      <c r="C418" s="43">
        <v>27654.0</v>
      </c>
      <c r="D418" s="1">
        <v>80.0</v>
      </c>
    </row>
    <row r="419" ht="13.5" customHeight="1">
      <c r="A419" s="1" t="s">
        <v>167</v>
      </c>
      <c r="B419" s="43">
        <v>76543.0</v>
      </c>
      <c r="C419" s="43">
        <v>50518.0</v>
      </c>
      <c r="D419" s="1">
        <v>79.0</v>
      </c>
    </row>
    <row r="420" ht="13.5" customHeight="1">
      <c r="A420" s="1" t="s">
        <v>387</v>
      </c>
      <c r="B420" s="43">
        <v>65432.0</v>
      </c>
      <c r="C420" s="43">
        <v>45802.0</v>
      </c>
      <c r="D420" s="1">
        <v>79.0</v>
      </c>
    </row>
    <row r="421" ht="13.5" customHeight="1">
      <c r="A421" s="1" t="s">
        <v>447</v>
      </c>
      <c r="B421" s="43">
        <v>43210.0</v>
      </c>
      <c r="C421" s="43">
        <v>27654.0</v>
      </c>
      <c r="D421" s="1">
        <v>79.0</v>
      </c>
    </row>
    <row r="422" ht="13.5" customHeight="1">
      <c r="A422" s="1" t="s">
        <v>158</v>
      </c>
      <c r="B422" s="43">
        <v>76543.0</v>
      </c>
      <c r="C422" s="43">
        <v>50518.0</v>
      </c>
      <c r="D422" s="1">
        <v>78.0</v>
      </c>
    </row>
    <row r="423" ht="13.5" customHeight="1">
      <c r="A423" s="1" t="s">
        <v>360</v>
      </c>
      <c r="B423" s="43">
        <v>65432.0</v>
      </c>
      <c r="C423" s="43">
        <v>45802.0</v>
      </c>
      <c r="D423" s="1">
        <v>78.0</v>
      </c>
    </row>
    <row r="424" ht="13.5" customHeight="1">
      <c r="A424" s="1" t="s">
        <v>438</v>
      </c>
      <c r="B424" s="43">
        <v>43210.0</v>
      </c>
      <c r="C424" s="43">
        <v>27654.0</v>
      </c>
      <c r="D424" s="1">
        <v>78.0</v>
      </c>
    </row>
    <row r="425" ht="13.5" customHeight="1">
      <c r="A425" s="1" t="s">
        <v>176</v>
      </c>
      <c r="B425" s="43">
        <v>76543.0</v>
      </c>
      <c r="C425" s="43">
        <v>50518.0</v>
      </c>
      <c r="D425" s="1">
        <v>77.0</v>
      </c>
    </row>
    <row r="426" ht="13.5" customHeight="1">
      <c r="A426" s="1" t="s">
        <v>369</v>
      </c>
      <c r="B426" s="43">
        <v>65432.0</v>
      </c>
      <c r="C426" s="43">
        <v>45802.0</v>
      </c>
      <c r="D426" s="1">
        <v>77.0</v>
      </c>
    </row>
    <row r="427" ht="13.5" customHeight="1">
      <c r="A427" s="1" t="s">
        <v>174</v>
      </c>
      <c r="B427" s="43">
        <v>65432.0</v>
      </c>
      <c r="C427" s="43">
        <v>43185.0</v>
      </c>
      <c r="D427" s="1">
        <v>76.0</v>
      </c>
    </row>
    <row r="428" ht="13.5" customHeight="1">
      <c r="A428" s="1" t="s">
        <v>378</v>
      </c>
      <c r="B428" s="43">
        <v>65432.0</v>
      </c>
      <c r="C428" s="43">
        <v>45802.0</v>
      </c>
      <c r="D428" s="1">
        <v>76.0</v>
      </c>
    </row>
    <row r="429" ht="13.5" customHeight="1">
      <c r="A429" s="1" t="s">
        <v>503</v>
      </c>
      <c r="B429" s="43">
        <v>23456.0</v>
      </c>
      <c r="C429" s="43">
        <v>14777.0</v>
      </c>
      <c r="D429" s="1">
        <v>76.0</v>
      </c>
    </row>
    <row r="430" ht="13.5" customHeight="1">
      <c r="A430" s="1" t="s">
        <v>165</v>
      </c>
      <c r="B430" s="43">
        <v>65432.0</v>
      </c>
      <c r="C430" s="43">
        <v>43185.0</v>
      </c>
      <c r="D430" s="1">
        <v>75.0</v>
      </c>
    </row>
    <row r="431" ht="13.5" customHeight="1">
      <c r="A431" s="1" t="s">
        <v>364</v>
      </c>
      <c r="B431" s="43">
        <v>56789.0</v>
      </c>
      <c r="C431" s="43">
        <v>39752.0</v>
      </c>
      <c r="D431" s="1">
        <v>75.0</v>
      </c>
    </row>
    <row r="432" ht="13.5" customHeight="1">
      <c r="A432" s="1" t="s">
        <v>441</v>
      </c>
      <c r="B432" s="43">
        <v>23456.0</v>
      </c>
      <c r="C432" s="43">
        <v>15012.0</v>
      </c>
      <c r="D432" s="1">
        <v>75.0</v>
      </c>
    </row>
    <row r="433" ht="13.5" customHeight="1">
      <c r="A433" s="1" t="s">
        <v>512</v>
      </c>
      <c r="B433" s="43">
        <v>23456.0</v>
      </c>
      <c r="C433" s="43">
        <v>14777.0</v>
      </c>
      <c r="D433" s="1">
        <v>75.0</v>
      </c>
    </row>
    <row r="434" ht="13.5" customHeight="1">
      <c r="A434" s="1" t="s">
        <v>156</v>
      </c>
      <c r="B434" s="43">
        <v>65432.0</v>
      </c>
      <c r="C434" s="43">
        <v>43185.0</v>
      </c>
      <c r="D434" s="1">
        <v>74.0</v>
      </c>
    </row>
    <row r="435" ht="13.5" customHeight="1">
      <c r="A435" s="1" t="s">
        <v>373</v>
      </c>
      <c r="B435" s="43">
        <v>56789.0</v>
      </c>
      <c r="C435" s="43">
        <v>39752.0</v>
      </c>
      <c r="D435" s="1">
        <v>74.0</v>
      </c>
    </row>
    <row r="436" ht="13.5" customHeight="1">
      <c r="A436" s="1" t="s">
        <v>432</v>
      </c>
      <c r="B436" s="43">
        <v>23456.0</v>
      </c>
      <c r="C436" s="43">
        <v>15012.0</v>
      </c>
      <c r="D436" s="1">
        <v>74.0</v>
      </c>
    </row>
    <row r="437" ht="13.5" customHeight="1">
      <c r="A437" s="1" t="s">
        <v>521</v>
      </c>
      <c r="B437" s="43">
        <v>23456.0</v>
      </c>
      <c r="C437" s="43">
        <v>14777.0</v>
      </c>
      <c r="D437" s="1">
        <v>74.0</v>
      </c>
    </row>
    <row r="438" ht="13.5" customHeight="1">
      <c r="A438" s="1" t="s">
        <v>183</v>
      </c>
      <c r="B438" s="43">
        <v>65432.0</v>
      </c>
      <c r="C438" s="43">
        <v>43185.0</v>
      </c>
      <c r="D438" s="1">
        <v>73.0</v>
      </c>
    </row>
    <row r="439" ht="13.5" customHeight="1">
      <c r="A439" s="1" t="s">
        <v>382</v>
      </c>
      <c r="B439" s="43">
        <v>56789.0</v>
      </c>
      <c r="C439" s="43">
        <v>39752.0</v>
      </c>
      <c r="D439" s="1">
        <v>73.0</v>
      </c>
    </row>
    <row r="440" ht="13.5" customHeight="1">
      <c r="A440" s="1" t="s">
        <v>450</v>
      </c>
      <c r="B440" s="43">
        <v>23456.0</v>
      </c>
      <c r="C440" s="43">
        <v>15012.0</v>
      </c>
      <c r="D440" s="1">
        <v>73.0</v>
      </c>
    </row>
    <row r="441" ht="13.5" customHeight="1">
      <c r="A441" s="1" t="s">
        <v>530</v>
      </c>
      <c r="B441" s="43">
        <v>23456.0</v>
      </c>
      <c r="C441" s="43">
        <v>14777.0</v>
      </c>
      <c r="D441" s="1">
        <v>73.0</v>
      </c>
    </row>
    <row r="442" ht="13.5" customHeight="1">
      <c r="A442" s="1" t="s">
        <v>178</v>
      </c>
      <c r="B442" s="43">
        <v>56789.0</v>
      </c>
      <c r="C442" s="43">
        <v>37481.0</v>
      </c>
      <c r="D442" s="1">
        <v>72.0</v>
      </c>
    </row>
    <row r="443" ht="13.5" customHeight="1">
      <c r="A443" s="1" t="s">
        <v>355</v>
      </c>
      <c r="B443" s="43">
        <v>54321.0</v>
      </c>
      <c r="C443" s="43">
        <v>38025.0</v>
      </c>
      <c r="D443" s="1">
        <v>72.0</v>
      </c>
    </row>
    <row r="444" ht="13.5" customHeight="1">
      <c r="A444" s="1" t="s">
        <v>539</v>
      </c>
      <c r="B444" s="43">
        <v>23456.0</v>
      </c>
      <c r="C444" s="43">
        <v>14777.0</v>
      </c>
      <c r="D444" s="1">
        <v>72.0</v>
      </c>
    </row>
    <row r="445" ht="13.5" customHeight="1">
      <c r="A445" s="1" t="s">
        <v>160</v>
      </c>
      <c r="B445" s="43">
        <v>56789.0</v>
      </c>
      <c r="C445" s="43">
        <v>37481.0</v>
      </c>
      <c r="D445" s="1">
        <v>71.0</v>
      </c>
    </row>
    <row r="446" ht="13.5" customHeight="1">
      <c r="A446" s="1" t="s">
        <v>548</v>
      </c>
      <c r="B446" s="43">
        <v>23456.0</v>
      </c>
      <c r="C446" s="43">
        <v>14777.0</v>
      </c>
      <c r="D446" s="1">
        <v>71.0</v>
      </c>
    </row>
    <row r="447" ht="13.5" customHeight="1">
      <c r="A447" s="1" t="s">
        <v>169</v>
      </c>
      <c r="B447" s="43">
        <v>56789.0</v>
      </c>
      <c r="C447" s="43">
        <v>37481.0</v>
      </c>
      <c r="D447" s="1">
        <v>70.0</v>
      </c>
    </row>
    <row r="448" ht="13.5" customHeight="1">
      <c r="A448" s="1" t="s">
        <v>516</v>
      </c>
      <c r="B448" s="43">
        <v>12345.0</v>
      </c>
      <c r="C448" s="43">
        <v>7778.0</v>
      </c>
      <c r="D448" s="1">
        <v>70.0</v>
      </c>
    </row>
    <row r="449" ht="13.5" customHeight="1">
      <c r="A449" s="1" t="s">
        <v>557</v>
      </c>
      <c r="B449" s="43">
        <v>23456.0</v>
      </c>
      <c r="C449" s="43">
        <v>14777.0</v>
      </c>
      <c r="D449" s="1">
        <v>70.0</v>
      </c>
    </row>
    <row r="450" ht="13.5" customHeight="1">
      <c r="A450" s="1" t="s">
        <v>187</v>
      </c>
      <c r="B450" s="43">
        <v>56789.0</v>
      </c>
      <c r="C450" s="43">
        <v>37481.0</v>
      </c>
      <c r="D450" s="1">
        <v>69.0</v>
      </c>
    </row>
    <row r="451" ht="13.5" customHeight="1">
      <c r="A451" s="1" t="s">
        <v>377</v>
      </c>
      <c r="B451" s="43">
        <v>34567.0</v>
      </c>
      <c r="C451" s="43">
        <v>24197.0</v>
      </c>
      <c r="D451" s="1">
        <v>69.0</v>
      </c>
    </row>
    <row r="452" ht="13.5" customHeight="1">
      <c r="A452" s="1" t="s">
        <v>436</v>
      </c>
      <c r="B452" s="43">
        <v>12345.0</v>
      </c>
      <c r="C452" s="43">
        <v>7901.0</v>
      </c>
      <c r="D452" s="1">
        <v>69.0</v>
      </c>
    </row>
    <row r="453" ht="13.5" customHeight="1">
      <c r="A453" s="1" t="s">
        <v>507</v>
      </c>
      <c r="B453" s="43">
        <v>12345.0</v>
      </c>
      <c r="C453" s="43">
        <v>7778.0</v>
      </c>
      <c r="D453" s="1">
        <v>69.0</v>
      </c>
    </row>
    <row r="454" ht="13.5" customHeight="1">
      <c r="A454" s="1" t="s">
        <v>566</v>
      </c>
      <c r="B454" s="43">
        <v>23456.0</v>
      </c>
      <c r="C454" s="43">
        <v>14777.0</v>
      </c>
      <c r="D454" s="1">
        <v>69.0</v>
      </c>
    </row>
    <row r="455" ht="13.5" customHeight="1">
      <c r="A455" s="1" t="s">
        <v>368</v>
      </c>
      <c r="B455" s="43">
        <v>34567.0</v>
      </c>
      <c r="C455" s="43">
        <v>24197.0</v>
      </c>
      <c r="D455" s="1">
        <v>68.0</v>
      </c>
    </row>
    <row r="456" ht="13.5" customHeight="1">
      <c r="A456" s="1" t="s">
        <v>445</v>
      </c>
      <c r="B456" s="43">
        <v>12345.0</v>
      </c>
      <c r="C456" s="43">
        <v>7901.0</v>
      </c>
      <c r="D456" s="1">
        <v>68.0</v>
      </c>
    </row>
    <row r="457" ht="13.5" customHeight="1">
      <c r="A457" s="1" t="s">
        <v>525</v>
      </c>
      <c r="B457" s="43">
        <v>12345.0</v>
      </c>
      <c r="C457" s="43">
        <v>7778.0</v>
      </c>
      <c r="D457" s="1">
        <v>68.0</v>
      </c>
    </row>
    <row r="458" ht="13.5" customHeight="1">
      <c r="A458" s="1" t="s">
        <v>575</v>
      </c>
      <c r="B458" s="43">
        <v>23456.0</v>
      </c>
      <c r="C458" s="43">
        <v>14777.0</v>
      </c>
      <c r="D458" s="1">
        <v>68.0</v>
      </c>
    </row>
    <row r="459" ht="13.5" customHeight="1">
      <c r="A459" s="1" t="s">
        <v>151</v>
      </c>
      <c r="B459" s="43">
        <v>54321.0</v>
      </c>
      <c r="C459" s="43">
        <v>35852.0</v>
      </c>
      <c r="D459" s="1">
        <v>67.0</v>
      </c>
    </row>
    <row r="460" ht="13.5" customHeight="1">
      <c r="A460" s="1" t="s">
        <v>359</v>
      </c>
      <c r="B460" s="43">
        <v>34567.0</v>
      </c>
      <c r="C460" s="43">
        <v>24197.0</v>
      </c>
      <c r="D460" s="1">
        <v>67.0</v>
      </c>
    </row>
    <row r="461" ht="13.5" customHeight="1">
      <c r="A461" s="1" t="s">
        <v>454</v>
      </c>
      <c r="B461" s="43">
        <v>12345.0</v>
      </c>
      <c r="C461" s="43">
        <v>7901.0</v>
      </c>
      <c r="D461" s="1">
        <v>67.0</v>
      </c>
    </row>
    <row r="462" ht="13.5" customHeight="1">
      <c r="A462" s="1" t="s">
        <v>534</v>
      </c>
      <c r="B462" s="43">
        <v>12345.0</v>
      </c>
      <c r="C462" s="43">
        <v>7778.0</v>
      </c>
      <c r="D462" s="1">
        <v>67.0</v>
      </c>
    </row>
    <row r="463" ht="13.5" customHeight="1">
      <c r="A463" s="1" t="s">
        <v>584</v>
      </c>
      <c r="B463" s="43">
        <v>23456.0</v>
      </c>
      <c r="C463" s="43">
        <v>14777.0</v>
      </c>
      <c r="D463" s="1">
        <v>67.0</v>
      </c>
    </row>
    <row r="464" ht="13.5" customHeight="1">
      <c r="A464" s="1" t="s">
        <v>386</v>
      </c>
      <c r="B464" s="43">
        <v>34567.0</v>
      </c>
      <c r="C464" s="43">
        <v>24197.0</v>
      </c>
      <c r="D464" s="1">
        <v>66.0</v>
      </c>
    </row>
    <row r="465" ht="13.5" customHeight="1">
      <c r="A465" s="1" t="s">
        <v>543</v>
      </c>
      <c r="B465" s="43">
        <v>12345.0</v>
      </c>
      <c r="C465" s="43">
        <v>7778.0</v>
      </c>
      <c r="D465" s="1">
        <v>66.0</v>
      </c>
    </row>
    <row r="466" ht="13.5" customHeight="1">
      <c r="A466" s="1" t="s">
        <v>593</v>
      </c>
      <c r="B466" s="43">
        <v>23456.0</v>
      </c>
      <c r="C466" s="43">
        <v>14777.0</v>
      </c>
      <c r="D466" s="1">
        <v>66.0</v>
      </c>
    </row>
    <row r="467" ht="13.5" customHeight="1">
      <c r="A467" s="1" t="s">
        <v>182</v>
      </c>
      <c r="B467" s="43">
        <v>34567.0</v>
      </c>
      <c r="C467" s="43">
        <v>22814.0</v>
      </c>
      <c r="D467" s="1">
        <v>65.0</v>
      </c>
    </row>
    <row r="468" ht="13.5" customHeight="1">
      <c r="A468" s="1" t="s">
        <v>552</v>
      </c>
      <c r="B468" s="43">
        <v>12345.0</v>
      </c>
      <c r="C468" s="43">
        <v>7778.0</v>
      </c>
      <c r="D468" s="1">
        <v>65.0</v>
      </c>
    </row>
    <row r="469" ht="13.5" customHeight="1">
      <c r="A469" s="1" t="s">
        <v>602</v>
      </c>
      <c r="B469" s="43">
        <v>23456.0</v>
      </c>
      <c r="C469" s="43">
        <v>14777.0</v>
      </c>
      <c r="D469" s="1">
        <v>65.0</v>
      </c>
    </row>
    <row r="470" ht="13.5" customHeight="1">
      <c r="A470" s="1" t="s">
        <v>173</v>
      </c>
      <c r="B470" s="43">
        <v>34567.0</v>
      </c>
      <c r="C470" s="43">
        <v>22814.0</v>
      </c>
      <c r="D470" s="1">
        <v>64.0</v>
      </c>
    </row>
    <row r="471" ht="13.5" customHeight="1">
      <c r="A471" s="1" t="s">
        <v>381</v>
      </c>
      <c r="B471" s="43">
        <v>43210.0</v>
      </c>
      <c r="C471" s="43">
        <v>30247.0</v>
      </c>
      <c r="D471" s="1">
        <v>64.0</v>
      </c>
    </row>
    <row r="472" ht="13.5" customHeight="1">
      <c r="A472" s="1" t="s">
        <v>561</v>
      </c>
      <c r="B472" s="43">
        <v>12345.0</v>
      </c>
      <c r="C472" s="43">
        <v>7778.0</v>
      </c>
      <c r="D472" s="1">
        <v>64.0</v>
      </c>
    </row>
    <row r="473" ht="13.5" customHeight="1">
      <c r="A473" s="1" t="s">
        <v>164</v>
      </c>
      <c r="B473" s="43">
        <v>34567.0</v>
      </c>
      <c r="C473" s="43">
        <v>22814.0</v>
      </c>
      <c r="D473" s="1">
        <v>63.0</v>
      </c>
    </row>
    <row r="474" ht="13.5" customHeight="1">
      <c r="A474" s="1" t="s">
        <v>363</v>
      </c>
      <c r="B474" s="43">
        <v>43210.0</v>
      </c>
      <c r="C474" s="43">
        <v>30247.0</v>
      </c>
      <c r="D474" s="1">
        <v>63.0</v>
      </c>
    </row>
    <row r="475" ht="13.5" customHeight="1">
      <c r="A475" s="1" t="s">
        <v>570</v>
      </c>
      <c r="B475" s="43">
        <v>12345.0</v>
      </c>
      <c r="C475" s="43">
        <v>7778.0</v>
      </c>
      <c r="D475" s="1">
        <v>63.0</v>
      </c>
    </row>
    <row r="476" ht="13.5" customHeight="1">
      <c r="A476" s="1" t="s">
        <v>155</v>
      </c>
      <c r="B476" s="43">
        <v>34567.0</v>
      </c>
      <c r="C476" s="43">
        <v>22814.0</v>
      </c>
      <c r="D476" s="1">
        <v>62.0</v>
      </c>
    </row>
    <row r="477" ht="13.5" customHeight="1">
      <c r="A477" s="1" t="s">
        <v>372</v>
      </c>
      <c r="B477" s="43">
        <v>43210.0</v>
      </c>
      <c r="C477" s="43">
        <v>30247.0</v>
      </c>
      <c r="D477" s="1">
        <v>62.0</v>
      </c>
    </row>
    <row r="478" ht="13.5" customHeight="1">
      <c r="A478" s="1" t="s">
        <v>579</v>
      </c>
      <c r="B478" s="43">
        <v>12345.0</v>
      </c>
      <c r="C478" s="43">
        <v>7778.0</v>
      </c>
      <c r="D478" s="1">
        <v>62.0</v>
      </c>
    </row>
    <row r="479" ht="13.5" customHeight="1">
      <c r="A479" s="1" t="s">
        <v>588</v>
      </c>
      <c r="B479" s="43">
        <v>12345.0</v>
      </c>
      <c r="C479" s="43">
        <v>7778.0</v>
      </c>
      <c r="D479" s="1">
        <v>61.0</v>
      </c>
    </row>
    <row r="480" ht="13.5" customHeight="1">
      <c r="A480" s="1" t="s">
        <v>597</v>
      </c>
      <c r="B480" s="43">
        <v>12345.0</v>
      </c>
      <c r="C480" s="43">
        <v>7778.0</v>
      </c>
      <c r="D480" s="1">
        <v>60.0</v>
      </c>
    </row>
    <row r="481" ht="13.5" customHeight="1">
      <c r="A481" s="1" t="s">
        <v>159</v>
      </c>
      <c r="B481" s="43">
        <v>43210.0</v>
      </c>
      <c r="C481" s="43">
        <v>28519.0</v>
      </c>
      <c r="D481" s="1">
        <v>59.0</v>
      </c>
    </row>
    <row r="482" ht="13.5" customHeight="1">
      <c r="A482" s="1" t="s">
        <v>357</v>
      </c>
      <c r="B482" s="43">
        <v>23456.0</v>
      </c>
      <c r="C482" s="43">
        <v>16419.0</v>
      </c>
      <c r="D482" s="1">
        <v>59.0</v>
      </c>
    </row>
    <row r="483" ht="13.5" customHeight="1">
      <c r="A483" s="1" t="s">
        <v>606</v>
      </c>
      <c r="B483" s="43">
        <v>12345.0</v>
      </c>
      <c r="C483" s="43">
        <v>7778.0</v>
      </c>
      <c r="D483" s="1">
        <v>59.0</v>
      </c>
    </row>
    <row r="484" ht="13.5" customHeight="1">
      <c r="A484" s="1" t="s">
        <v>168</v>
      </c>
      <c r="B484" s="43">
        <v>43210.0</v>
      </c>
      <c r="C484" s="43">
        <v>28519.0</v>
      </c>
      <c r="D484" s="1">
        <v>58.0</v>
      </c>
    </row>
    <row r="485" ht="13.5" customHeight="1">
      <c r="A485" s="1" t="s">
        <v>366</v>
      </c>
      <c r="B485" s="43">
        <v>23456.0</v>
      </c>
      <c r="C485" s="43">
        <v>16419.0</v>
      </c>
      <c r="D485" s="1">
        <v>58.0</v>
      </c>
    </row>
    <row r="486" ht="13.5" customHeight="1">
      <c r="A486" s="1" t="s">
        <v>177</v>
      </c>
      <c r="B486" s="43">
        <v>43210.0</v>
      </c>
      <c r="C486" s="43">
        <v>28519.0</v>
      </c>
      <c r="D486" s="1">
        <v>57.0</v>
      </c>
    </row>
    <row r="487" ht="13.5" customHeight="1">
      <c r="A487" s="1" t="s">
        <v>375</v>
      </c>
      <c r="B487" s="43">
        <v>23456.0</v>
      </c>
      <c r="C487" s="43">
        <v>16419.0</v>
      </c>
      <c r="D487" s="1">
        <v>57.0</v>
      </c>
    </row>
    <row r="488" ht="13.5" customHeight="1">
      <c r="A488" s="1" t="s">
        <v>186</v>
      </c>
      <c r="B488" s="43">
        <v>43210.0</v>
      </c>
      <c r="C488" s="43">
        <v>28519.0</v>
      </c>
      <c r="D488" s="1">
        <v>56.0</v>
      </c>
    </row>
    <row r="489" ht="13.5" customHeight="1">
      <c r="A489" s="1" t="s">
        <v>384</v>
      </c>
      <c r="B489" s="43">
        <v>23456.0</v>
      </c>
      <c r="C489" s="43">
        <v>16419.0</v>
      </c>
      <c r="D489" s="1">
        <v>56.0</v>
      </c>
    </row>
    <row r="490" ht="13.5" customHeight="1">
      <c r="A490" s="1" t="s">
        <v>153</v>
      </c>
      <c r="B490" s="43">
        <v>23456.0</v>
      </c>
      <c r="C490" s="43">
        <v>15481.0</v>
      </c>
      <c r="D490" s="1">
        <v>54.0</v>
      </c>
    </row>
    <row r="491" ht="13.5" customHeight="1">
      <c r="A491" s="1" t="s">
        <v>370</v>
      </c>
      <c r="B491" s="43">
        <v>12345.0</v>
      </c>
      <c r="C491" s="43">
        <v>8642.0</v>
      </c>
      <c r="D491" s="1">
        <v>54.0</v>
      </c>
    </row>
    <row r="492" ht="13.5" customHeight="1">
      <c r="A492" s="1" t="s">
        <v>162</v>
      </c>
      <c r="B492" s="43">
        <v>23456.0</v>
      </c>
      <c r="C492" s="43">
        <v>15481.0</v>
      </c>
      <c r="D492" s="1">
        <v>53.0</v>
      </c>
    </row>
    <row r="493" ht="13.5" customHeight="1">
      <c r="A493" s="1" t="s">
        <v>361</v>
      </c>
      <c r="B493" s="43">
        <v>12345.0</v>
      </c>
      <c r="C493" s="43">
        <v>8642.0</v>
      </c>
      <c r="D493" s="1">
        <v>53.0</v>
      </c>
    </row>
    <row r="494" ht="13.5" customHeight="1">
      <c r="A494" s="1" t="s">
        <v>171</v>
      </c>
      <c r="B494" s="43">
        <v>23456.0</v>
      </c>
      <c r="C494" s="43">
        <v>15481.0</v>
      </c>
      <c r="D494" s="1">
        <v>52.0</v>
      </c>
    </row>
    <row r="495" ht="13.5" customHeight="1">
      <c r="A495" s="1" t="s">
        <v>379</v>
      </c>
      <c r="B495" s="43">
        <v>12345.0</v>
      </c>
      <c r="C495" s="43">
        <v>8642.0</v>
      </c>
      <c r="D495" s="1">
        <v>52.0</v>
      </c>
    </row>
    <row r="496" ht="13.5" customHeight="1">
      <c r="A496" s="1" t="s">
        <v>180</v>
      </c>
      <c r="B496" s="43">
        <v>23456.0</v>
      </c>
      <c r="C496" s="43">
        <v>15481.0</v>
      </c>
      <c r="D496" s="1">
        <v>51.0</v>
      </c>
    </row>
    <row r="497" ht="13.5" customHeight="1">
      <c r="A497" s="1" t="s">
        <v>388</v>
      </c>
      <c r="B497" s="43">
        <v>12345.0</v>
      </c>
      <c r="C497" s="43">
        <v>8642.0</v>
      </c>
      <c r="D497" s="1">
        <v>51.0</v>
      </c>
    </row>
    <row r="498" ht="13.5" customHeight="1">
      <c r="A498" s="1" t="s">
        <v>166</v>
      </c>
      <c r="B498" s="43">
        <v>12345.0</v>
      </c>
      <c r="C498" s="43">
        <v>8148.0</v>
      </c>
      <c r="D498" s="1">
        <v>49.0</v>
      </c>
    </row>
    <row r="499" ht="13.5" customHeight="1">
      <c r="A499" s="1" t="s">
        <v>157</v>
      </c>
      <c r="B499" s="43">
        <v>12345.0</v>
      </c>
      <c r="C499" s="43">
        <v>8148.0</v>
      </c>
      <c r="D499" s="1">
        <v>48.0</v>
      </c>
    </row>
    <row r="500" ht="13.5" customHeight="1">
      <c r="A500" s="1" t="s">
        <v>175</v>
      </c>
      <c r="B500" s="43">
        <v>12345.0</v>
      </c>
      <c r="C500" s="43">
        <v>8148.0</v>
      </c>
      <c r="D500" s="1">
        <v>47.0</v>
      </c>
    </row>
    <row r="501" ht="13.5" customHeight="1">
      <c r="A501" s="1" t="s">
        <v>184</v>
      </c>
      <c r="B501" s="43">
        <v>12345.0</v>
      </c>
      <c r="C501" s="43">
        <v>8148.0</v>
      </c>
      <c r="D501" s="1">
        <v>46.0</v>
      </c>
    </row>
    <row r="502" ht="13.5" customHeight="1">
      <c r="B502" s="1"/>
      <c r="C502" s="1"/>
      <c r="D502" s="1"/>
    </row>
    <row r="503" ht="13.5" customHeight="1">
      <c r="B503" s="1"/>
      <c r="C503" s="1"/>
      <c r="D503" s="1"/>
    </row>
    <row r="504" ht="13.5" customHeight="1">
      <c r="B504" s="1"/>
      <c r="C504" s="1"/>
      <c r="D504" s="1"/>
    </row>
    <row r="505" ht="13.5" customHeight="1">
      <c r="B505" s="1"/>
      <c r="C505" s="1"/>
      <c r="D505" s="1"/>
    </row>
    <row r="506" ht="13.5" customHeight="1">
      <c r="B506" s="1"/>
      <c r="C506" s="1"/>
      <c r="D506" s="1"/>
    </row>
    <row r="507" ht="13.5" customHeight="1">
      <c r="B507" s="1"/>
      <c r="C507" s="1"/>
      <c r="D507" s="1"/>
    </row>
    <row r="508" ht="13.5" customHeight="1">
      <c r="B508" s="1"/>
      <c r="C508" s="1"/>
      <c r="D508" s="1"/>
    </row>
    <row r="509" ht="13.5" customHeight="1">
      <c r="B509" s="1"/>
      <c r="C509" s="1"/>
      <c r="D509" s="1"/>
    </row>
    <row r="510" ht="13.5" customHeight="1">
      <c r="B510" s="1"/>
      <c r="C510" s="1"/>
      <c r="D510" s="1"/>
    </row>
    <row r="511" ht="13.5" customHeight="1">
      <c r="B511" s="1"/>
      <c r="C511" s="1"/>
      <c r="D511" s="1"/>
    </row>
    <row r="512" ht="13.5" customHeight="1">
      <c r="B512" s="1"/>
      <c r="C512" s="1"/>
      <c r="D512" s="1"/>
    </row>
    <row r="513" ht="13.5" customHeight="1">
      <c r="B513" s="1"/>
      <c r="C513" s="1"/>
      <c r="D513" s="1"/>
    </row>
    <row r="514" ht="13.5" customHeight="1">
      <c r="B514" s="1"/>
      <c r="C514" s="1"/>
      <c r="D514" s="1"/>
    </row>
    <row r="515" ht="13.5" customHeight="1">
      <c r="B515" s="1"/>
      <c r="C515" s="1"/>
      <c r="D515" s="1"/>
    </row>
    <row r="516" ht="13.5" customHeight="1">
      <c r="B516" s="1"/>
      <c r="C516" s="1"/>
      <c r="D516" s="1"/>
    </row>
    <row r="517" ht="13.5" customHeight="1">
      <c r="B517" s="1"/>
      <c r="C517" s="1"/>
      <c r="D517" s="1"/>
    </row>
    <row r="518" ht="13.5" customHeight="1">
      <c r="B518" s="1"/>
      <c r="C518" s="1"/>
      <c r="D518" s="1"/>
    </row>
    <row r="519" ht="13.5" customHeight="1">
      <c r="B519" s="1"/>
      <c r="C519" s="1"/>
      <c r="D519" s="1"/>
    </row>
    <row r="520" ht="13.5" customHeight="1">
      <c r="B520" s="1"/>
      <c r="C520" s="1"/>
      <c r="D520" s="1"/>
    </row>
    <row r="521" ht="13.5" customHeight="1">
      <c r="B521" s="1"/>
      <c r="C521" s="1"/>
      <c r="D521" s="1"/>
    </row>
    <row r="522" ht="13.5" customHeight="1">
      <c r="B522" s="1"/>
      <c r="C522" s="1"/>
      <c r="D522" s="1"/>
    </row>
    <row r="523" ht="13.5" customHeight="1">
      <c r="B523" s="1"/>
      <c r="C523" s="1"/>
      <c r="D523" s="1"/>
    </row>
    <row r="524" ht="13.5" customHeight="1">
      <c r="B524" s="1"/>
      <c r="C524" s="1"/>
      <c r="D524" s="1"/>
    </row>
    <row r="525" ht="13.5" customHeight="1">
      <c r="B525" s="1"/>
      <c r="C525" s="1"/>
      <c r="D525" s="1"/>
    </row>
    <row r="526" ht="13.5" customHeight="1">
      <c r="B526" s="1"/>
      <c r="C526" s="1"/>
      <c r="D526" s="1"/>
    </row>
    <row r="527" ht="13.5" customHeight="1">
      <c r="B527" s="1"/>
      <c r="C527" s="1"/>
      <c r="D527" s="1"/>
    </row>
    <row r="528" ht="13.5" customHeight="1">
      <c r="B528" s="1"/>
      <c r="C528" s="1"/>
      <c r="D528" s="1"/>
    </row>
    <row r="529" ht="13.5" customHeight="1">
      <c r="B529" s="1"/>
      <c r="C529" s="1"/>
      <c r="D529" s="1"/>
    </row>
    <row r="530" ht="13.5" customHeight="1">
      <c r="B530" s="1"/>
      <c r="C530" s="1"/>
      <c r="D530" s="1"/>
    </row>
    <row r="531" ht="13.5" customHeight="1">
      <c r="B531" s="1"/>
      <c r="C531" s="1"/>
      <c r="D531" s="1"/>
    </row>
    <row r="532" ht="13.5" customHeight="1">
      <c r="B532" s="1"/>
      <c r="C532" s="1"/>
      <c r="D532" s="1"/>
    </row>
    <row r="533" ht="13.5" customHeight="1">
      <c r="B533" s="1"/>
      <c r="C533" s="1"/>
      <c r="D533" s="1"/>
    </row>
    <row r="534" ht="13.5" customHeight="1">
      <c r="B534" s="1"/>
      <c r="C534" s="1"/>
      <c r="D534" s="1"/>
    </row>
    <row r="535" ht="13.5" customHeight="1">
      <c r="B535" s="1"/>
      <c r="C535" s="1"/>
      <c r="D535" s="1"/>
    </row>
    <row r="536" ht="13.5" customHeight="1">
      <c r="B536" s="1"/>
      <c r="C536" s="1"/>
      <c r="D536" s="1"/>
    </row>
    <row r="537" ht="13.5" customHeight="1">
      <c r="B537" s="1"/>
      <c r="C537" s="1"/>
      <c r="D537" s="1"/>
    </row>
    <row r="538" ht="13.5" customHeight="1">
      <c r="B538" s="1"/>
      <c r="C538" s="1"/>
      <c r="D538" s="1"/>
    </row>
    <row r="539" ht="13.5" customHeight="1">
      <c r="B539" s="1"/>
      <c r="C539" s="1"/>
      <c r="D539" s="1"/>
    </row>
    <row r="540" ht="13.5" customHeight="1">
      <c r="B540" s="1"/>
      <c r="C540" s="1"/>
      <c r="D540" s="1"/>
    </row>
    <row r="541" ht="13.5" customHeight="1">
      <c r="B541" s="1"/>
      <c r="C541" s="1"/>
      <c r="D541" s="1"/>
    </row>
    <row r="542" ht="13.5" customHeight="1">
      <c r="B542" s="1"/>
      <c r="C542" s="1"/>
      <c r="D542" s="1"/>
    </row>
    <row r="543" ht="13.5" customHeight="1">
      <c r="B543" s="1"/>
      <c r="C543" s="1"/>
      <c r="D543" s="1"/>
    </row>
    <row r="544" ht="13.5" customHeight="1">
      <c r="B544" s="1"/>
      <c r="C544" s="1"/>
      <c r="D544" s="1"/>
    </row>
    <row r="545" ht="13.5" customHeight="1">
      <c r="B545" s="1"/>
      <c r="C545" s="1"/>
      <c r="D545" s="1"/>
    </row>
    <row r="546" ht="13.5" customHeight="1">
      <c r="B546" s="1"/>
      <c r="C546" s="1"/>
      <c r="D546" s="1"/>
    </row>
    <row r="547" ht="13.5" customHeight="1">
      <c r="B547" s="1"/>
      <c r="C547" s="1"/>
      <c r="D547" s="1"/>
    </row>
    <row r="548" ht="13.5" customHeight="1">
      <c r="B548" s="1"/>
      <c r="C548" s="1"/>
      <c r="D548" s="1"/>
    </row>
    <row r="549" ht="13.5" customHeight="1">
      <c r="B549" s="1"/>
      <c r="C549" s="1"/>
      <c r="D549" s="1"/>
    </row>
    <row r="550" ht="13.5" customHeight="1">
      <c r="B550" s="1"/>
      <c r="C550" s="1"/>
      <c r="D550" s="1"/>
    </row>
    <row r="551" ht="13.5" customHeight="1">
      <c r="B551" s="1"/>
      <c r="C551" s="1"/>
      <c r="D551" s="1"/>
    </row>
    <row r="552" ht="13.5" customHeight="1">
      <c r="B552" s="1"/>
      <c r="C552" s="1"/>
      <c r="D552" s="1"/>
    </row>
    <row r="553" ht="13.5" customHeight="1">
      <c r="B553" s="1"/>
      <c r="C553" s="1"/>
      <c r="D553" s="1"/>
    </row>
    <row r="554" ht="13.5" customHeight="1">
      <c r="B554" s="1"/>
      <c r="C554" s="1"/>
      <c r="D554" s="1"/>
    </row>
    <row r="555" ht="13.5" customHeight="1">
      <c r="B555" s="1"/>
      <c r="C555" s="1"/>
      <c r="D555" s="1"/>
    </row>
    <row r="556" ht="13.5" customHeight="1">
      <c r="B556" s="1"/>
      <c r="C556" s="1"/>
      <c r="D556" s="1"/>
    </row>
    <row r="557" ht="13.5" customHeight="1">
      <c r="B557" s="1"/>
      <c r="C557" s="1"/>
      <c r="D557" s="1"/>
    </row>
    <row r="558" ht="13.5" customHeight="1">
      <c r="B558" s="1"/>
      <c r="C558" s="1"/>
      <c r="D558" s="1"/>
    </row>
    <row r="559" ht="13.5" customHeight="1">
      <c r="B559" s="1"/>
      <c r="C559" s="1"/>
      <c r="D559" s="1"/>
    </row>
    <row r="560" ht="13.5" customHeight="1">
      <c r="B560" s="1"/>
      <c r="C560" s="1"/>
      <c r="D560" s="1"/>
    </row>
    <row r="561" ht="13.5" customHeight="1">
      <c r="B561" s="1"/>
      <c r="C561" s="1"/>
      <c r="D561" s="1"/>
    </row>
    <row r="562" ht="13.5" customHeight="1">
      <c r="B562" s="1"/>
      <c r="C562" s="1"/>
      <c r="D562" s="1"/>
    </row>
    <row r="563" ht="13.5" customHeight="1">
      <c r="B563" s="1"/>
      <c r="C563" s="1"/>
      <c r="D563" s="1"/>
    </row>
    <row r="564" ht="13.5" customHeight="1">
      <c r="B564" s="1"/>
      <c r="C564" s="1"/>
      <c r="D564" s="1"/>
    </row>
    <row r="565" ht="13.5" customHeight="1">
      <c r="B565" s="1"/>
      <c r="C565" s="1"/>
      <c r="D565" s="1"/>
    </row>
    <row r="566" ht="13.5" customHeight="1">
      <c r="B566" s="1"/>
      <c r="C566" s="1"/>
      <c r="D566" s="1"/>
    </row>
    <row r="567" ht="13.5" customHeight="1">
      <c r="B567" s="1"/>
      <c r="C567" s="1"/>
      <c r="D567" s="1"/>
    </row>
    <row r="568" ht="13.5" customHeight="1">
      <c r="B568" s="1"/>
      <c r="C568" s="1"/>
      <c r="D568" s="1"/>
    </row>
    <row r="569" ht="13.5" customHeight="1">
      <c r="B569" s="1"/>
      <c r="C569" s="1"/>
      <c r="D569" s="1"/>
    </row>
    <row r="570" ht="13.5" customHeight="1">
      <c r="B570" s="1"/>
      <c r="C570" s="1"/>
      <c r="D570" s="1"/>
    </row>
    <row r="571" ht="13.5" customHeight="1">
      <c r="B571" s="1"/>
      <c r="C571" s="1"/>
      <c r="D571" s="1"/>
    </row>
    <row r="572" ht="13.5" customHeight="1">
      <c r="B572" s="1"/>
      <c r="C572" s="1"/>
      <c r="D572" s="1"/>
    </row>
    <row r="573" ht="13.5" customHeight="1">
      <c r="B573" s="1"/>
      <c r="C573" s="1"/>
      <c r="D573" s="1"/>
    </row>
    <row r="574" ht="13.5" customHeight="1">
      <c r="B574" s="1"/>
      <c r="C574" s="1"/>
      <c r="D574" s="1"/>
    </row>
    <row r="575" ht="13.5" customHeight="1">
      <c r="B575" s="1"/>
      <c r="C575" s="1"/>
      <c r="D575" s="1"/>
    </row>
    <row r="576" ht="13.5" customHeight="1">
      <c r="B576" s="1"/>
      <c r="C576" s="1"/>
      <c r="D576" s="1"/>
    </row>
    <row r="577" ht="13.5" customHeight="1">
      <c r="B577" s="1"/>
      <c r="C577" s="1"/>
      <c r="D577" s="1"/>
    </row>
    <row r="578" ht="13.5" customHeight="1">
      <c r="B578" s="1"/>
      <c r="C578" s="1"/>
      <c r="D578" s="1"/>
    </row>
    <row r="579" ht="13.5" customHeight="1">
      <c r="B579" s="1"/>
      <c r="C579" s="1"/>
      <c r="D579" s="1"/>
    </row>
    <row r="580" ht="13.5" customHeight="1">
      <c r="B580" s="1"/>
      <c r="C580" s="1"/>
      <c r="D580" s="1"/>
    </row>
    <row r="581" ht="13.5" customHeight="1">
      <c r="B581" s="1"/>
      <c r="C581" s="1"/>
      <c r="D581" s="1"/>
    </row>
    <row r="582" ht="13.5" customHeight="1">
      <c r="B582" s="1"/>
      <c r="C582" s="1"/>
      <c r="D582" s="1"/>
    </row>
    <row r="583" ht="13.5" customHeight="1">
      <c r="B583" s="1"/>
      <c r="C583" s="1"/>
      <c r="D583" s="1"/>
    </row>
    <row r="584" ht="13.5" customHeight="1">
      <c r="B584" s="1"/>
      <c r="C584" s="1"/>
      <c r="D584" s="1"/>
    </row>
    <row r="585" ht="13.5" customHeight="1">
      <c r="B585" s="1"/>
      <c r="C585" s="1"/>
      <c r="D585" s="1"/>
    </row>
    <row r="586" ht="13.5" customHeight="1">
      <c r="B586" s="1"/>
      <c r="C586" s="1"/>
      <c r="D586" s="1"/>
    </row>
    <row r="587" ht="13.5" customHeight="1">
      <c r="B587" s="1"/>
      <c r="C587" s="1"/>
      <c r="D587" s="1"/>
    </row>
    <row r="588" ht="13.5" customHeight="1">
      <c r="B588" s="1"/>
      <c r="C588" s="1"/>
      <c r="D588" s="1"/>
    </row>
    <row r="589" ht="13.5" customHeight="1">
      <c r="B589" s="1"/>
      <c r="C589" s="1"/>
      <c r="D589" s="1"/>
    </row>
    <row r="590" ht="13.5" customHeight="1">
      <c r="B590" s="1"/>
      <c r="C590" s="1"/>
      <c r="D590" s="1"/>
    </row>
    <row r="591" ht="13.5" customHeight="1">
      <c r="B591" s="1"/>
      <c r="C591" s="1"/>
      <c r="D591" s="1"/>
    </row>
    <row r="592" ht="13.5" customHeight="1">
      <c r="B592" s="1"/>
      <c r="C592" s="1"/>
      <c r="D592" s="1"/>
    </row>
    <row r="593" ht="13.5" customHeight="1">
      <c r="B593" s="1"/>
      <c r="C593" s="1"/>
      <c r="D593" s="1"/>
    </row>
    <row r="594" ht="13.5" customHeight="1">
      <c r="B594" s="1"/>
      <c r="C594" s="1"/>
      <c r="D594" s="1"/>
    </row>
    <row r="595" ht="13.5" customHeight="1">
      <c r="B595" s="1"/>
      <c r="C595" s="1"/>
      <c r="D595" s="1"/>
    </row>
    <row r="596" ht="13.5" customHeight="1">
      <c r="B596" s="1"/>
      <c r="C596" s="1"/>
      <c r="D596" s="1"/>
    </row>
    <row r="597" ht="13.5" customHeight="1">
      <c r="B597" s="1"/>
      <c r="C597" s="1"/>
      <c r="D597" s="1"/>
    </row>
    <row r="598" ht="13.5" customHeight="1">
      <c r="B598" s="1"/>
      <c r="C598" s="1"/>
      <c r="D598" s="1"/>
    </row>
    <row r="599" ht="13.5" customHeight="1">
      <c r="B599" s="1"/>
      <c r="C599" s="1"/>
      <c r="D599" s="1"/>
    </row>
    <row r="600" ht="13.5" customHeight="1">
      <c r="B600" s="1"/>
      <c r="C600" s="1"/>
      <c r="D600" s="1"/>
    </row>
    <row r="601" ht="13.5" customHeight="1">
      <c r="B601" s="1"/>
      <c r="C601" s="1"/>
      <c r="D601" s="1"/>
    </row>
    <row r="602" ht="13.5" customHeight="1">
      <c r="B602" s="1"/>
      <c r="C602" s="1"/>
      <c r="D602" s="1"/>
    </row>
    <row r="603" ht="13.5" customHeight="1">
      <c r="B603" s="1"/>
      <c r="C603" s="1"/>
      <c r="D603" s="1"/>
    </row>
    <row r="604" ht="13.5" customHeight="1">
      <c r="B604" s="1"/>
      <c r="C604" s="1"/>
      <c r="D604" s="1"/>
    </row>
    <row r="605" ht="13.5" customHeight="1">
      <c r="B605" s="1"/>
      <c r="C605" s="1"/>
      <c r="D605" s="1"/>
    </row>
    <row r="606" ht="13.5" customHeight="1">
      <c r="B606" s="1"/>
      <c r="C606" s="1"/>
      <c r="D606" s="1"/>
    </row>
    <row r="607" ht="13.5" customHeight="1">
      <c r="B607" s="1"/>
      <c r="C607" s="1"/>
      <c r="D607" s="1"/>
    </row>
    <row r="608" ht="13.5" customHeight="1">
      <c r="B608" s="1"/>
      <c r="C608" s="1"/>
      <c r="D608" s="1"/>
    </row>
    <row r="609" ht="13.5" customHeight="1">
      <c r="B609" s="1"/>
      <c r="C609" s="1"/>
      <c r="D609" s="1"/>
    </row>
    <row r="610" ht="13.5" customHeight="1">
      <c r="B610" s="1"/>
      <c r="C610" s="1"/>
      <c r="D610" s="1"/>
    </row>
    <row r="611" ht="13.5" customHeight="1">
      <c r="B611" s="1"/>
      <c r="C611" s="1"/>
      <c r="D611" s="1"/>
    </row>
    <row r="612" ht="13.5" customHeight="1">
      <c r="B612" s="1"/>
      <c r="C612" s="1"/>
      <c r="D612" s="1"/>
    </row>
    <row r="613" ht="13.5" customHeight="1">
      <c r="B613" s="1"/>
      <c r="C613" s="1"/>
      <c r="D613" s="1"/>
    </row>
    <row r="614" ht="13.5" customHeight="1">
      <c r="B614" s="1"/>
      <c r="C614" s="1"/>
      <c r="D614" s="1"/>
    </row>
    <row r="615" ht="13.5" customHeight="1">
      <c r="B615" s="1"/>
      <c r="C615" s="1"/>
      <c r="D615" s="1"/>
    </row>
    <row r="616" ht="13.5" customHeight="1">
      <c r="B616" s="1"/>
      <c r="C616" s="1"/>
      <c r="D616" s="1"/>
    </row>
    <row r="617" ht="13.5" customHeight="1">
      <c r="B617" s="1"/>
      <c r="C617" s="1"/>
      <c r="D617" s="1"/>
    </row>
    <row r="618" ht="13.5" customHeight="1">
      <c r="B618" s="1"/>
      <c r="C618" s="1"/>
      <c r="D618" s="1"/>
    </row>
    <row r="619" ht="13.5" customHeight="1">
      <c r="B619" s="1"/>
      <c r="C619" s="1"/>
      <c r="D619" s="1"/>
    </row>
    <row r="620" ht="13.5" customHeight="1">
      <c r="B620" s="1"/>
      <c r="C620" s="1"/>
      <c r="D620" s="1"/>
    </row>
    <row r="621" ht="13.5" customHeight="1">
      <c r="B621" s="1"/>
      <c r="C621" s="1"/>
      <c r="D621" s="1"/>
    </row>
    <row r="622" ht="13.5" customHeight="1">
      <c r="B622" s="1"/>
      <c r="C622" s="1"/>
      <c r="D622" s="1"/>
    </row>
    <row r="623" ht="13.5" customHeight="1">
      <c r="B623" s="1"/>
      <c r="C623" s="1"/>
      <c r="D623" s="1"/>
    </row>
    <row r="624" ht="13.5" customHeight="1">
      <c r="B624" s="1"/>
      <c r="C624" s="1"/>
      <c r="D624" s="1"/>
    </row>
    <row r="625" ht="13.5" customHeight="1">
      <c r="B625" s="1"/>
      <c r="C625" s="1"/>
      <c r="D625" s="1"/>
    </row>
    <row r="626" ht="13.5" customHeight="1">
      <c r="B626" s="1"/>
      <c r="C626" s="1"/>
      <c r="D626" s="1"/>
    </row>
    <row r="627" ht="13.5" customHeight="1">
      <c r="B627" s="1"/>
      <c r="C627" s="1"/>
      <c r="D627" s="1"/>
    </row>
    <row r="628" ht="13.5" customHeight="1">
      <c r="B628" s="1"/>
      <c r="C628" s="1"/>
      <c r="D628" s="1"/>
    </row>
    <row r="629" ht="13.5" customHeight="1">
      <c r="B629" s="1"/>
      <c r="C629" s="1"/>
      <c r="D629" s="1"/>
    </row>
    <row r="630" ht="13.5" customHeight="1">
      <c r="B630" s="1"/>
      <c r="C630" s="1"/>
      <c r="D630" s="1"/>
    </row>
    <row r="631" ht="13.5" customHeight="1">
      <c r="B631" s="1"/>
      <c r="C631" s="1"/>
      <c r="D631" s="1"/>
    </row>
    <row r="632" ht="13.5" customHeight="1">
      <c r="B632" s="1"/>
      <c r="C632" s="1"/>
      <c r="D632" s="1"/>
    </row>
    <row r="633" ht="13.5" customHeight="1">
      <c r="B633" s="1"/>
      <c r="C633" s="1"/>
      <c r="D633" s="1"/>
    </row>
    <row r="634" ht="13.5" customHeight="1">
      <c r="B634" s="1"/>
      <c r="C634" s="1"/>
      <c r="D634" s="1"/>
    </row>
    <row r="635" ht="13.5" customHeight="1">
      <c r="B635" s="1"/>
      <c r="C635" s="1"/>
      <c r="D635" s="1"/>
    </row>
    <row r="636" ht="13.5" customHeight="1">
      <c r="B636" s="1"/>
      <c r="C636" s="1"/>
      <c r="D636" s="1"/>
    </row>
    <row r="637" ht="13.5" customHeight="1">
      <c r="B637" s="1"/>
      <c r="C637" s="1"/>
      <c r="D637" s="1"/>
    </row>
    <row r="638" ht="13.5" customHeight="1">
      <c r="B638" s="1"/>
      <c r="C638" s="1"/>
      <c r="D638" s="1"/>
    </row>
    <row r="639" ht="13.5" customHeight="1">
      <c r="B639" s="1"/>
      <c r="C639" s="1"/>
      <c r="D639" s="1"/>
    </row>
    <row r="640" ht="13.5" customHeight="1">
      <c r="B640" s="1"/>
      <c r="C640" s="1"/>
      <c r="D640" s="1"/>
    </row>
    <row r="641" ht="13.5" customHeight="1">
      <c r="B641" s="1"/>
      <c r="C641" s="1"/>
      <c r="D641" s="1"/>
    </row>
    <row r="642" ht="13.5" customHeight="1">
      <c r="B642" s="1"/>
      <c r="C642" s="1"/>
      <c r="D642" s="1"/>
    </row>
    <row r="643" ht="13.5" customHeight="1">
      <c r="B643" s="1"/>
      <c r="C643" s="1"/>
      <c r="D643" s="1"/>
    </row>
    <row r="644" ht="13.5" customHeight="1">
      <c r="B644" s="1"/>
      <c r="C644" s="1"/>
      <c r="D644" s="1"/>
    </row>
    <row r="645" ht="13.5" customHeight="1">
      <c r="B645" s="1"/>
      <c r="C645" s="1"/>
      <c r="D645" s="1"/>
    </row>
    <row r="646" ht="13.5" customHeight="1">
      <c r="B646" s="1"/>
      <c r="C646" s="1"/>
      <c r="D646" s="1"/>
    </row>
    <row r="647" ht="13.5" customHeight="1">
      <c r="B647" s="1"/>
      <c r="C647" s="1"/>
      <c r="D647" s="1"/>
    </row>
    <row r="648" ht="13.5" customHeight="1">
      <c r="B648" s="1"/>
      <c r="C648" s="1"/>
      <c r="D648" s="1"/>
    </row>
    <row r="649" ht="13.5" customHeight="1">
      <c r="B649" s="1"/>
      <c r="C649" s="1"/>
      <c r="D649" s="1"/>
    </row>
    <row r="650" ht="13.5" customHeight="1">
      <c r="B650" s="1"/>
      <c r="C650" s="1"/>
      <c r="D650" s="1"/>
    </row>
    <row r="651" ht="13.5" customHeight="1">
      <c r="B651" s="1"/>
      <c r="C651" s="1"/>
      <c r="D651" s="1"/>
    </row>
    <row r="652" ht="13.5" customHeight="1">
      <c r="B652" s="1"/>
      <c r="C652" s="1"/>
      <c r="D652" s="1"/>
    </row>
    <row r="653" ht="13.5" customHeight="1">
      <c r="B653" s="1"/>
      <c r="C653" s="1"/>
      <c r="D653" s="1"/>
    </row>
    <row r="654" ht="13.5" customHeight="1">
      <c r="B654" s="1"/>
      <c r="C654" s="1"/>
      <c r="D654" s="1"/>
    </row>
    <row r="655" ht="13.5" customHeight="1">
      <c r="B655" s="1"/>
      <c r="C655" s="1"/>
      <c r="D655" s="1"/>
    </row>
    <row r="656" ht="13.5" customHeight="1">
      <c r="B656" s="1"/>
      <c r="C656" s="1"/>
      <c r="D656" s="1"/>
    </row>
    <row r="657" ht="13.5" customHeight="1">
      <c r="B657" s="1"/>
      <c r="C657" s="1"/>
      <c r="D657" s="1"/>
    </row>
    <row r="658" ht="13.5" customHeight="1">
      <c r="B658" s="1"/>
      <c r="C658" s="1"/>
      <c r="D658" s="1"/>
    </row>
    <row r="659" ht="13.5" customHeight="1">
      <c r="B659" s="1"/>
      <c r="C659" s="1"/>
      <c r="D659" s="1"/>
    </row>
    <row r="660" ht="13.5" customHeight="1">
      <c r="B660" s="1"/>
      <c r="C660" s="1"/>
      <c r="D660" s="1"/>
    </row>
    <row r="661" ht="13.5" customHeight="1">
      <c r="B661" s="1"/>
      <c r="C661" s="1"/>
      <c r="D661" s="1"/>
    </row>
    <row r="662" ht="13.5" customHeight="1">
      <c r="B662" s="1"/>
      <c r="C662" s="1"/>
      <c r="D662" s="1"/>
    </row>
    <row r="663" ht="13.5" customHeight="1">
      <c r="B663" s="1"/>
      <c r="C663" s="1"/>
      <c r="D663" s="1"/>
    </row>
    <row r="664" ht="13.5" customHeight="1">
      <c r="B664" s="1"/>
      <c r="C664" s="1"/>
      <c r="D664" s="1"/>
    </row>
    <row r="665" ht="13.5" customHeight="1">
      <c r="B665" s="1"/>
      <c r="C665" s="1"/>
      <c r="D665" s="1"/>
    </row>
    <row r="666" ht="13.5" customHeight="1">
      <c r="B666" s="1"/>
      <c r="C666" s="1"/>
      <c r="D666" s="1"/>
    </row>
    <row r="667" ht="13.5" customHeight="1">
      <c r="B667" s="1"/>
      <c r="C667" s="1"/>
      <c r="D667" s="1"/>
    </row>
    <row r="668" ht="13.5" customHeight="1">
      <c r="B668" s="1"/>
      <c r="C668" s="1"/>
      <c r="D668" s="1"/>
    </row>
    <row r="669" ht="13.5" customHeight="1">
      <c r="B669" s="1"/>
      <c r="C669" s="1"/>
      <c r="D669" s="1"/>
    </row>
    <row r="670" ht="13.5" customHeight="1">
      <c r="B670" s="1"/>
      <c r="C670" s="1"/>
      <c r="D670" s="1"/>
    </row>
    <row r="671" ht="13.5" customHeight="1">
      <c r="B671" s="1"/>
      <c r="C671" s="1"/>
      <c r="D671" s="1"/>
    </row>
    <row r="672" ht="13.5" customHeight="1">
      <c r="B672" s="1"/>
      <c r="C672" s="1"/>
      <c r="D672" s="1"/>
    </row>
    <row r="673" ht="13.5" customHeight="1">
      <c r="B673" s="1"/>
      <c r="C673" s="1"/>
      <c r="D673" s="1"/>
    </row>
    <row r="674" ht="13.5" customHeight="1">
      <c r="B674" s="1"/>
      <c r="C674" s="1"/>
      <c r="D674" s="1"/>
    </row>
    <row r="675" ht="13.5" customHeight="1">
      <c r="B675" s="1"/>
      <c r="C675" s="1"/>
      <c r="D675" s="1"/>
    </row>
    <row r="676" ht="13.5" customHeight="1">
      <c r="B676" s="1"/>
      <c r="C676" s="1"/>
      <c r="D676" s="1"/>
    </row>
    <row r="677" ht="13.5" customHeight="1">
      <c r="B677" s="1"/>
      <c r="C677" s="1"/>
      <c r="D677" s="1"/>
    </row>
    <row r="678" ht="13.5" customHeight="1">
      <c r="B678" s="1"/>
      <c r="C678" s="1"/>
      <c r="D678" s="1"/>
    </row>
    <row r="679" ht="13.5" customHeight="1">
      <c r="B679" s="1"/>
      <c r="C679" s="1"/>
      <c r="D679" s="1"/>
    </row>
    <row r="680" ht="13.5" customHeight="1">
      <c r="B680" s="1"/>
      <c r="C680" s="1"/>
      <c r="D680" s="1"/>
    </row>
    <row r="681" ht="13.5" customHeight="1">
      <c r="B681" s="1"/>
      <c r="C681" s="1"/>
      <c r="D681" s="1"/>
    </row>
    <row r="682" ht="13.5" customHeight="1">
      <c r="B682" s="1"/>
      <c r="C682" s="1"/>
      <c r="D682" s="1"/>
    </row>
    <row r="683" ht="13.5" customHeight="1">
      <c r="B683" s="1"/>
      <c r="C683" s="1"/>
      <c r="D683" s="1"/>
    </row>
    <row r="684" ht="13.5" customHeight="1">
      <c r="B684" s="1"/>
      <c r="C684" s="1"/>
      <c r="D684" s="1"/>
    </row>
    <row r="685" ht="13.5" customHeight="1">
      <c r="B685" s="1"/>
      <c r="C685" s="1"/>
      <c r="D685" s="1"/>
    </row>
    <row r="686" ht="13.5" customHeight="1">
      <c r="B686" s="1"/>
      <c r="C686" s="1"/>
      <c r="D686" s="1"/>
    </row>
    <row r="687" ht="13.5" customHeight="1">
      <c r="B687" s="1"/>
      <c r="C687" s="1"/>
      <c r="D687" s="1"/>
    </row>
    <row r="688" ht="13.5" customHeight="1">
      <c r="B688" s="1"/>
      <c r="C688" s="1"/>
      <c r="D688" s="1"/>
    </row>
    <row r="689" ht="13.5" customHeight="1">
      <c r="B689" s="1"/>
      <c r="C689" s="1"/>
      <c r="D689" s="1"/>
    </row>
    <row r="690" ht="13.5" customHeight="1">
      <c r="B690" s="1"/>
      <c r="C690" s="1"/>
      <c r="D690" s="1"/>
    </row>
    <row r="691" ht="13.5" customHeight="1">
      <c r="B691" s="1"/>
      <c r="C691" s="1"/>
      <c r="D691" s="1"/>
    </row>
    <row r="692" ht="13.5" customHeight="1">
      <c r="B692" s="1"/>
      <c r="C692" s="1"/>
      <c r="D692" s="1"/>
    </row>
    <row r="693" ht="13.5" customHeight="1">
      <c r="B693" s="1"/>
      <c r="C693" s="1"/>
      <c r="D693" s="1"/>
    </row>
    <row r="694" ht="13.5" customHeight="1">
      <c r="B694" s="1"/>
      <c r="C694" s="1"/>
      <c r="D694" s="1"/>
    </row>
    <row r="695" ht="13.5" customHeight="1">
      <c r="B695" s="1"/>
      <c r="C695" s="1"/>
      <c r="D695" s="1"/>
    </row>
    <row r="696" ht="13.5" customHeight="1">
      <c r="B696" s="1"/>
      <c r="C696" s="1"/>
      <c r="D696" s="1"/>
    </row>
    <row r="697" ht="13.5" customHeight="1">
      <c r="B697" s="1"/>
      <c r="C697" s="1"/>
      <c r="D697" s="1"/>
    </row>
    <row r="698" ht="13.5" customHeight="1">
      <c r="B698" s="1"/>
      <c r="C698" s="1"/>
      <c r="D698" s="1"/>
    </row>
    <row r="699" ht="13.5" customHeight="1">
      <c r="B699" s="1"/>
      <c r="C699" s="1"/>
      <c r="D699" s="1"/>
    </row>
    <row r="700" ht="13.5" customHeight="1">
      <c r="B700" s="1"/>
      <c r="C700" s="1"/>
      <c r="D700" s="1"/>
    </row>
    <row r="701" ht="13.5" customHeight="1">
      <c r="B701" s="1"/>
      <c r="C701" s="1"/>
      <c r="D701" s="1"/>
    </row>
    <row r="702" ht="13.5" customHeight="1">
      <c r="B702" s="1"/>
      <c r="C702" s="1"/>
      <c r="D702" s="1"/>
    </row>
    <row r="703" ht="13.5" customHeight="1">
      <c r="B703" s="1"/>
      <c r="C703" s="1"/>
      <c r="D703" s="1"/>
    </row>
    <row r="704" ht="13.5" customHeight="1">
      <c r="B704" s="1"/>
      <c r="C704" s="1"/>
      <c r="D704" s="1"/>
    </row>
    <row r="705" ht="13.5" customHeight="1">
      <c r="B705" s="1"/>
      <c r="C705" s="1"/>
      <c r="D705" s="1"/>
    </row>
    <row r="706" ht="13.5" customHeight="1">
      <c r="B706" s="1"/>
      <c r="C706" s="1"/>
      <c r="D706" s="1"/>
    </row>
    <row r="707" ht="13.5" customHeight="1">
      <c r="B707" s="1"/>
      <c r="C707" s="1"/>
      <c r="D707" s="1"/>
    </row>
    <row r="708" ht="13.5" customHeight="1">
      <c r="B708" s="1"/>
      <c r="C708" s="1"/>
      <c r="D708" s="1"/>
    </row>
    <row r="709" ht="13.5" customHeight="1">
      <c r="B709" s="1"/>
      <c r="C709" s="1"/>
      <c r="D709" s="1"/>
    </row>
    <row r="710" ht="13.5" customHeight="1">
      <c r="B710" s="1"/>
      <c r="C710" s="1"/>
      <c r="D710" s="1"/>
    </row>
    <row r="711" ht="13.5" customHeight="1">
      <c r="B711" s="1"/>
      <c r="C711" s="1"/>
      <c r="D711" s="1"/>
    </row>
    <row r="712" ht="13.5" customHeight="1">
      <c r="B712" s="1"/>
      <c r="C712" s="1"/>
      <c r="D712" s="1"/>
    </row>
    <row r="713" ht="13.5" customHeight="1">
      <c r="B713" s="1"/>
      <c r="C713" s="1"/>
      <c r="D713" s="1"/>
    </row>
    <row r="714" ht="13.5" customHeight="1">
      <c r="B714" s="1"/>
      <c r="C714" s="1"/>
      <c r="D714" s="1"/>
    </row>
    <row r="715" ht="13.5" customHeight="1">
      <c r="B715" s="1"/>
      <c r="C715" s="1"/>
      <c r="D715" s="1"/>
    </row>
    <row r="716" ht="13.5" customHeight="1">
      <c r="B716" s="1"/>
      <c r="C716" s="1"/>
      <c r="D716" s="1"/>
    </row>
    <row r="717" ht="13.5" customHeight="1">
      <c r="B717" s="1"/>
      <c r="C717" s="1"/>
      <c r="D717" s="1"/>
    </row>
    <row r="718" ht="13.5" customHeight="1">
      <c r="B718" s="1"/>
      <c r="C718" s="1"/>
      <c r="D718" s="1"/>
    </row>
    <row r="719" ht="13.5" customHeight="1">
      <c r="B719" s="1"/>
      <c r="C719" s="1"/>
      <c r="D719" s="1"/>
    </row>
    <row r="720" ht="13.5" customHeight="1">
      <c r="B720" s="1"/>
      <c r="C720" s="1"/>
      <c r="D720" s="1"/>
    </row>
    <row r="721" ht="13.5" customHeight="1">
      <c r="B721" s="1"/>
      <c r="C721" s="1"/>
      <c r="D721" s="1"/>
    </row>
    <row r="722" ht="13.5" customHeight="1">
      <c r="B722" s="1"/>
      <c r="C722" s="1"/>
      <c r="D722" s="1"/>
    </row>
    <row r="723" ht="13.5" customHeight="1">
      <c r="B723" s="1"/>
      <c r="C723" s="1"/>
      <c r="D723" s="1"/>
    </row>
    <row r="724" ht="13.5" customHeight="1">
      <c r="B724" s="1"/>
      <c r="C724" s="1"/>
      <c r="D724" s="1"/>
    </row>
    <row r="725" ht="13.5" customHeight="1">
      <c r="B725" s="1"/>
      <c r="C725" s="1"/>
      <c r="D725" s="1"/>
    </row>
    <row r="726" ht="13.5" customHeight="1">
      <c r="B726" s="1"/>
      <c r="C726" s="1"/>
      <c r="D726" s="1"/>
    </row>
    <row r="727" ht="13.5" customHeight="1">
      <c r="B727" s="1"/>
      <c r="C727" s="1"/>
      <c r="D727" s="1"/>
    </row>
    <row r="728" ht="13.5" customHeight="1">
      <c r="B728" s="1"/>
      <c r="C728" s="1"/>
      <c r="D728" s="1"/>
    </row>
    <row r="729" ht="13.5" customHeight="1">
      <c r="B729" s="1"/>
      <c r="C729" s="1"/>
      <c r="D729" s="1"/>
    </row>
    <row r="730" ht="13.5" customHeight="1">
      <c r="B730" s="1"/>
      <c r="C730" s="1"/>
      <c r="D730" s="1"/>
    </row>
    <row r="731" ht="13.5" customHeight="1">
      <c r="B731" s="1"/>
      <c r="C731" s="1"/>
      <c r="D731" s="1"/>
    </row>
    <row r="732" ht="13.5" customHeight="1">
      <c r="B732" s="1"/>
      <c r="C732" s="1"/>
      <c r="D732" s="1"/>
    </row>
    <row r="733" ht="13.5" customHeight="1">
      <c r="B733" s="1"/>
      <c r="C733" s="1"/>
      <c r="D733" s="1"/>
    </row>
    <row r="734" ht="13.5" customHeight="1">
      <c r="B734" s="1"/>
      <c r="C734" s="1"/>
      <c r="D734" s="1"/>
    </row>
    <row r="735" ht="13.5" customHeight="1">
      <c r="B735" s="1"/>
      <c r="C735" s="1"/>
      <c r="D735" s="1"/>
    </row>
    <row r="736" ht="13.5" customHeight="1">
      <c r="B736" s="1"/>
      <c r="C736" s="1"/>
      <c r="D736" s="1"/>
    </row>
    <row r="737" ht="13.5" customHeight="1">
      <c r="B737" s="1"/>
      <c r="C737" s="1"/>
      <c r="D737" s="1"/>
    </row>
    <row r="738" ht="13.5" customHeight="1">
      <c r="B738" s="1"/>
      <c r="C738" s="1"/>
      <c r="D738" s="1"/>
    </row>
    <row r="739" ht="13.5" customHeight="1">
      <c r="B739" s="1"/>
      <c r="C739" s="1"/>
      <c r="D739" s="1"/>
    </row>
    <row r="740" ht="13.5" customHeight="1">
      <c r="B740" s="1"/>
      <c r="C740" s="1"/>
      <c r="D740" s="1"/>
    </row>
    <row r="741" ht="13.5" customHeight="1">
      <c r="B741" s="1"/>
      <c r="C741" s="1"/>
      <c r="D741" s="1"/>
    </row>
    <row r="742" ht="13.5" customHeight="1">
      <c r="B742" s="1"/>
      <c r="C742" s="1"/>
      <c r="D742" s="1"/>
    </row>
    <row r="743" ht="13.5" customHeight="1">
      <c r="B743" s="1"/>
      <c r="C743" s="1"/>
      <c r="D743" s="1"/>
    </row>
    <row r="744" ht="13.5" customHeight="1">
      <c r="B744" s="1"/>
      <c r="C744" s="1"/>
      <c r="D744" s="1"/>
    </row>
    <row r="745" ht="13.5" customHeight="1">
      <c r="B745" s="1"/>
      <c r="C745" s="1"/>
      <c r="D745" s="1"/>
    </row>
    <row r="746" ht="13.5" customHeight="1">
      <c r="B746" s="1"/>
      <c r="C746" s="1"/>
      <c r="D746" s="1"/>
    </row>
    <row r="747" ht="13.5" customHeight="1">
      <c r="B747" s="1"/>
      <c r="C747" s="1"/>
      <c r="D747" s="1"/>
    </row>
    <row r="748" ht="13.5" customHeight="1">
      <c r="B748" s="1"/>
      <c r="C748" s="1"/>
      <c r="D748" s="1"/>
    </row>
    <row r="749" ht="13.5" customHeight="1">
      <c r="B749" s="1"/>
      <c r="C749" s="1"/>
      <c r="D749" s="1"/>
    </row>
    <row r="750" ht="13.5" customHeight="1">
      <c r="B750" s="1"/>
      <c r="C750" s="1"/>
      <c r="D750" s="1"/>
    </row>
    <row r="751" ht="13.5" customHeight="1">
      <c r="B751" s="1"/>
      <c r="C751" s="1"/>
      <c r="D751" s="1"/>
    </row>
    <row r="752" ht="13.5" customHeight="1">
      <c r="B752" s="1"/>
      <c r="C752" s="1"/>
      <c r="D752" s="1"/>
    </row>
    <row r="753" ht="13.5" customHeight="1">
      <c r="B753" s="1"/>
      <c r="C753" s="1"/>
      <c r="D753" s="1"/>
    </row>
    <row r="754" ht="13.5" customHeight="1">
      <c r="B754" s="1"/>
      <c r="C754" s="1"/>
      <c r="D754" s="1"/>
    </row>
    <row r="755" ht="13.5" customHeight="1">
      <c r="B755" s="1"/>
      <c r="C755" s="1"/>
      <c r="D755" s="1"/>
    </row>
    <row r="756" ht="13.5" customHeight="1">
      <c r="B756" s="1"/>
      <c r="C756" s="1"/>
      <c r="D756" s="1"/>
    </row>
    <row r="757" ht="13.5" customHeight="1">
      <c r="B757" s="1"/>
      <c r="C757" s="1"/>
      <c r="D757" s="1"/>
    </row>
    <row r="758" ht="13.5" customHeight="1">
      <c r="B758" s="1"/>
      <c r="C758" s="1"/>
      <c r="D758" s="1"/>
    </row>
    <row r="759" ht="13.5" customHeight="1">
      <c r="B759" s="1"/>
      <c r="C759" s="1"/>
      <c r="D759" s="1"/>
    </row>
    <row r="760" ht="13.5" customHeight="1">
      <c r="B760" s="1"/>
      <c r="C760" s="1"/>
      <c r="D760" s="1"/>
    </row>
    <row r="761" ht="13.5" customHeight="1">
      <c r="B761" s="1"/>
      <c r="C761" s="1"/>
      <c r="D761" s="1"/>
    </row>
    <row r="762" ht="13.5" customHeight="1">
      <c r="B762" s="1"/>
      <c r="C762" s="1"/>
      <c r="D762" s="1"/>
    </row>
    <row r="763" ht="13.5" customHeight="1">
      <c r="B763" s="1"/>
      <c r="C763" s="1"/>
      <c r="D763" s="1"/>
    </row>
    <row r="764" ht="13.5" customHeight="1">
      <c r="B764" s="1"/>
      <c r="C764" s="1"/>
      <c r="D764" s="1"/>
    </row>
    <row r="765" ht="13.5" customHeight="1">
      <c r="B765" s="1"/>
      <c r="C765" s="1"/>
      <c r="D765" s="1"/>
    </row>
    <row r="766" ht="13.5" customHeight="1">
      <c r="B766" s="1"/>
      <c r="C766" s="1"/>
      <c r="D766" s="1"/>
    </row>
    <row r="767" ht="13.5" customHeight="1">
      <c r="B767" s="1"/>
      <c r="C767" s="1"/>
      <c r="D767" s="1"/>
    </row>
    <row r="768" ht="13.5" customHeight="1">
      <c r="B768" s="1"/>
      <c r="C768" s="1"/>
      <c r="D768" s="1"/>
    </row>
    <row r="769" ht="13.5" customHeight="1">
      <c r="B769" s="1"/>
      <c r="C769" s="1"/>
      <c r="D769" s="1"/>
    </row>
    <row r="770" ht="13.5" customHeight="1">
      <c r="B770" s="1"/>
      <c r="C770" s="1"/>
      <c r="D770" s="1"/>
    </row>
    <row r="771" ht="13.5" customHeight="1">
      <c r="B771" s="1"/>
      <c r="C771" s="1"/>
      <c r="D771" s="1"/>
    </row>
    <row r="772" ht="13.5" customHeight="1">
      <c r="B772" s="1"/>
      <c r="C772" s="1"/>
      <c r="D772" s="1"/>
    </row>
    <row r="773" ht="13.5" customHeight="1">
      <c r="B773" s="1"/>
      <c r="C773" s="1"/>
      <c r="D773" s="1"/>
    </row>
    <row r="774" ht="13.5" customHeight="1">
      <c r="B774" s="1"/>
      <c r="C774" s="1"/>
      <c r="D774" s="1"/>
    </row>
    <row r="775" ht="13.5" customHeight="1">
      <c r="B775" s="1"/>
      <c r="C775" s="1"/>
      <c r="D775" s="1"/>
    </row>
    <row r="776" ht="13.5" customHeight="1">
      <c r="B776" s="1"/>
      <c r="C776" s="1"/>
      <c r="D776" s="1"/>
    </row>
    <row r="777" ht="13.5" customHeight="1">
      <c r="B777" s="1"/>
      <c r="C777" s="1"/>
      <c r="D777" s="1"/>
    </row>
    <row r="778" ht="13.5" customHeight="1">
      <c r="B778" s="1"/>
      <c r="C778" s="1"/>
      <c r="D778" s="1"/>
    </row>
    <row r="779" ht="13.5" customHeight="1">
      <c r="B779" s="1"/>
      <c r="C779" s="1"/>
      <c r="D779" s="1"/>
    </row>
    <row r="780" ht="13.5" customHeight="1">
      <c r="B780" s="1"/>
      <c r="C780" s="1"/>
      <c r="D780" s="1"/>
    </row>
    <row r="781" ht="13.5" customHeight="1">
      <c r="B781" s="1"/>
      <c r="C781" s="1"/>
      <c r="D781" s="1"/>
    </row>
    <row r="782" ht="13.5" customHeight="1">
      <c r="B782" s="1"/>
      <c r="C782" s="1"/>
      <c r="D782" s="1"/>
    </row>
    <row r="783" ht="13.5" customHeight="1">
      <c r="B783" s="1"/>
      <c r="C783" s="1"/>
      <c r="D783" s="1"/>
    </row>
    <row r="784" ht="13.5" customHeight="1">
      <c r="B784" s="1"/>
      <c r="C784" s="1"/>
      <c r="D784" s="1"/>
    </row>
    <row r="785" ht="13.5" customHeight="1">
      <c r="B785" s="1"/>
      <c r="C785" s="1"/>
      <c r="D785" s="1"/>
    </row>
    <row r="786" ht="13.5" customHeight="1">
      <c r="B786" s="1"/>
      <c r="C786" s="1"/>
      <c r="D786" s="1"/>
    </row>
    <row r="787" ht="13.5" customHeight="1">
      <c r="B787" s="1"/>
      <c r="C787" s="1"/>
      <c r="D787" s="1"/>
    </row>
    <row r="788" ht="13.5" customHeight="1">
      <c r="B788" s="1"/>
      <c r="C788" s="1"/>
      <c r="D788" s="1"/>
    </row>
    <row r="789" ht="13.5" customHeight="1">
      <c r="B789" s="1"/>
      <c r="C789" s="1"/>
      <c r="D789" s="1"/>
    </row>
    <row r="790" ht="13.5" customHeight="1">
      <c r="B790" s="1"/>
      <c r="C790" s="1"/>
      <c r="D790" s="1"/>
    </row>
    <row r="791" ht="13.5" customHeight="1">
      <c r="B791" s="1"/>
      <c r="C791" s="1"/>
      <c r="D791" s="1"/>
    </row>
    <row r="792" ht="13.5" customHeight="1">
      <c r="B792" s="1"/>
      <c r="C792" s="1"/>
      <c r="D792" s="1"/>
    </row>
    <row r="793" ht="13.5" customHeight="1">
      <c r="B793" s="1"/>
      <c r="C793" s="1"/>
      <c r="D793" s="1"/>
    </row>
    <row r="794" ht="13.5" customHeight="1">
      <c r="B794" s="1"/>
      <c r="C794" s="1"/>
      <c r="D794" s="1"/>
    </row>
    <row r="795" ht="13.5" customHeight="1">
      <c r="B795" s="1"/>
      <c r="C795" s="1"/>
      <c r="D795" s="1"/>
    </row>
    <row r="796" ht="13.5" customHeight="1">
      <c r="B796" s="1"/>
      <c r="C796" s="1"/>
      <c r="D796" s="1"/>
    </row>
    <row r="797" ht="13.5" customHeight="1">
      <c r="B797" s="1"/>
      <c r="C797" s="1"/>
      <c r="D797" s="1"/>
    </row>
    <row r="798" ht="13.5" customHeight="1">
      <c r="B798" s="1"/>
      <c r="C798" s="1"/>
      <c r="D798" s="1"/>
    </row>
    <row r="799" ht="13.5" customHeight="1">
      <c r="B799" s="1"/>
      <c r="C799" s="1"/>
      <c r="D799" s="1"/>
    </row>
    <row r="800" ht="13.5" customHeight="1">
      <c r="B800" s="1"/>
      <c r="C800" s="1"/>
      <c r="D800" s="1"/>
    </row>
    <row r="801" ht="13.5" customHeight="1">
      <c r="B801" s="1"/>
      <c r="C801" s="1"/>
      <c r="D801" s="1"/>
    </row>
    <row r="802" ht="13.5" customHeight="1">
      <c r="B802" s="1"/>
      <c r="C802" s="1"/>
      <c r="D802" s="1"/>
    </row>
    <row r="803" ht="13.5" customHeight="1">
      <c r="B803" s="1"/>
      <c r="C803" s="1"/>
      <c r="D803" s="1"/>
    </row>
    <row r="804" ht="13.5" customHeight="1">
      <c r="B804" s="1"/>
      <c r="C804" s="1"/>
      <c r="D804" s="1"/>
    </row>
    <row r="805" ht="13.5" customHeight="1">
      <c r="B805" s="1"/>
      <c r="C805" s="1"/>
      <c r="D805" s="1"/>
    </row>
    <row r="806" ht="13.5" customHeight="1">
      <c r="B806" s="1"/>
      <c r="C806" s="1"/>
      <c r="D806" s="1"/>
    </row>
    <row r="807" ht="13.5" customHeight="1">
      <c r="B807" s="1"/>
      <c r="C807" s="1"/>
      <c r="D807" s="1"/>
    </row>
    <row r="808" ht="13.5" customHeight="1">
      <c r="B808" s="1"/>
      <c r="C808" s="1"/>
      <c r="D808" s="1"/>
    </row>
    <row r="809" ht="13.5" customHeight="1">
      <c r="B809" s="1"/>
      <c r="C809" s="1"/>
      <c r="D809" s="1"/>
    </row>
    <row r="810" ht="13.5" customHeight="1">
      <c r="B810" s="1"/>
      <c r="C810" s="1"/>
      <c r="D810" s="1"/>
    </row>
    <row r="811" ht="13.5" customHeight="1">
      <c r="B811" s="1"/>
      <c r="C811" s="1"/>
      <c r="D811" s="1"/>
    </row>
    <row r="812" ht="13.5" customHeight="1">
      <c r="B812" s="1"/>
      <c r="C812" s="1"/>
      <c r="D812" s="1"/>
    </row>
    <row r="813" ht="13.5" customHeight="1">
      <c r="B813" s="1"/>
      <c r="C813" s="1"/>
      <c r="D813" s="1"/>
    </row>
    <row r="814" ht="13.5" customHeight="1">
      <c r="B814" s="1"/>
      <c r="C814" s="1"/>
      <c r="D814" s="1"/>
    </row>
    <row r="815" ht="13.5" customHeight="1">
      <c r="B815" s="1"/>
      <c r="C815" s="1"/>
      <c r="D815" s="1"/>
    </row>
    <row r="816" ht="13.5" customHeight="1">
      <c r="B816" s="1"/>
      <c r="C816" s="1"/>
      <c r="D816" s="1"/>
    </row>
    <row r="817" ht="13.5" customHeight="1">
      <c r="B817" s="1"/>
      <c r="C817" s="1"/>
      <c r="D817" s="1"/>
    </row>
    <row r="818" ht="13.5" customHeight="1">
      <c r="B818" s="1"/>
      <c r="C818" s="1"/>
      <c r="D818" s="1"/>
    </row>
    <row r="819" ht="13.5" customHeight="1">
      <c r="B819" s="1"/>
      <c r="C819" s="1"/>
      <c r="D819" s="1"/>
    </row>
    <row r="820" ht="13.5" customHeight="1">
      <c r="B820" s="1"/>
      <c r="C820" s="1"/>
      <c r="D820" s="1"/>
    </row>
    <row r="821" ht="13.5" customHeight="1">
      <c r="B821" s="1"/>
      <c r="C821" s="1"/>
      <c r="D821" s="1"/>
    </row>
    <row r="822" ht="13.5" customHeight="1">
      <c r="B822" s="1"/>
      <c r="C822" s="1"/>
      <c r="D822" s="1"/>
    </row>
    <row r="823" ht="13.5" customHeight="1">
      <c r="B823" s="1"/>
      <c r="C823" s="1"/>
      <c r="D823" s="1"/>
    </row>
    <row r="824" ht="13.5" customHeight="1">
      <c r="B824" s="1"/>
      <c r="C824" s="1"/>
      <c r="D824" s="1"/>
    </row>
    <row r="825" ht="13.5" customHeight="1">
      <c r="B825" s="1"/>
      <c r="C825" s="1"/>
      <c r="D825" s="1"/>
    </row>
    <row r="826" ht="13.5" customHeight="1">
      <c r="B826" s="1"/>
      <c r="C826" s="1"/>
      <c r="D826" s="1"/>
    </row>
    <row r="827" ht="13.5" customHeight="1">
      <c r="B827" s="1"/>
      <c r="C827" s="1"/>
      <c r="D827" s="1"/>
    </row>
    <row r="828" ht="13.5" customHeight="1">
      <c r="B828" s="1"/>
      <c r="C828" s="1"/>
      <c r="D828" s="1"/>
    </row>
    <row r="829" ht="13.5" customHeight="1">
      <c r="B829" s="1"/>
      <c r="C829" s="1"/>
      <c r="D829" s="1"/>
    </row>
    <row r="830" ht="13.5" customHeight="1">
      <c r="B830" s="1"/>
      <c r="C830" s="1"/>
      <c r="D830" s="1"/>
    </row>
    <row r="831" ht="13.5" customHeight="1">
      <c r="B831" s="1"/>
      <c r="C831" s="1"/>
      <c r="D831" s="1"/>
    </row>
    <row r="832" ht="13.5" customHeight="1">
      <c r="B832" s="1"/>
      <c r="C832" s="1"/>
      <c r="D832" s="1"/>
    </row>
    <row r="833" ht="13.5" customHeight="1">
      <c r="B833" s="1"/>
      <c r="C833" s="1"/>
      <c r="D833" s="1"/>
    </row>
    <row r="834" ht="13.5" customHeight="1">
      <c r="B834" s="1"/>
      <c r="C834" s="1"/>
      <c r="D834" s="1"/>
    </row>
    <row r="835" ht="13.5" customHeight="1">
      <c r="B835" s="1"/>
      <c r="C835" s="1"/>
      <c r="D835" s="1"/>
    </row>
    <row r="836" ht="13.5" customHeight="1">
      <c r="B836" s="1"/>
      <c r="C836" s="1"/>
      <c r="D836" s="1"/>
    </row>
    <row r="837" ht="13.5" customHeight="1">
      <c r="B837" s="1"/>
      <c r="C837" s="1"/>
      <c r="D837" s="1"/>
    </row>
    <row r="838" ht="13.5" customHeight="1">
      <c r="B838" s="1"/>
      <c r="C838" s="1"/>
      <c r="D838" s="1"/>
    </row>
    <row r="839" ht="13.5" customHeight="1">
      <c r="B839" s="1"/>
      <c r="C839" s="1"/>
      <c r="D839" s="1"/>
    </row>
    <row r="840" ht="13.5" customHeight="1">
      <c r="B840" s="1"/>
      <c r="C840" s="1"/>
      <c r="D840" s="1"/>
    </row>
    <row r="841" ht="13.5" customHeight="1">
      <c r="B841" s="1"/>
      <c r="C841" s="1"/>
      <c r="D841" s="1"/>
    </row>
    <row r="842" ht="13.5" customHeight="1">
      <c r="B842" s="1"/>
      <c r="C842" s="1"/>
      <c r="D842" s="1"/>
    </row>
    <row r="843" ht="13.5" customHeight="1">
      <c r="B843" s="1"/>
      <c r="C843" s="1"/>
      <c r="D843" s="1"/>
    </row>
    <row r="844" ht="13.5" customHeight="1">
      <c r="B844" s="1"/>
      <c r="C844" s="1"/>
      <c r="D844" s="1"/>
    </row>
    <row r="845" ht="13.5" customHeight="1">
      <c r="B845" s="1"/>
      <c r="C845" s="1"/>
      <c r="D845" s="1"/>
    </row>
    <row r="846" ht="13.5" customHeight="1">
      <c r="B846" s="1"/>
      <c r="C846" s="1"/>
      <c r="D846" s="1"/>
    </row>
    <row r="847" ht="13.5" customHeight="1">
      <c r="B847" s="1"/>
      <c r="C847" s="1"/>
      <c r="D847" s="1"/>
    </row>
    <row r="848" ht="13.5" customHeight="1">
      <c r="B848" s="1"/>
      <c r="C848" s="1"/>
      <c r="D848" s="1"/>
    </row>
    <row r="849" ht="13.5" customHeight="1">
      <c r="B849" s="1"/>
      <c r="C849" s="1"/>
      <c r="D849" s="1"/>
    </row>
    <row r="850" ht="13.5" customHeight="1">
      <c r="B850" s="1"/>
      <c r="C850" s="1"/>
      <c r="D850" s="1"/>
    </row>
    <row r="851" ht="13.5" customHeight="1">
      <c r="B851" s="1"/>
      <c r="C851" s="1"/>
      <c r="D851" s="1"/>
    </row>
    <row r="852" ht="13.5" customHeight="1">
      <c r="B852" s="1"/>
      <c r="C852" s="1"/>
      <c r="D852" s="1"/>
    </row>
    <row r="853" ht="13.5" customHeight="1">
      <c r="B853" s="1"/>
      <c r="C853" s="1"/>
      <c r="D853" s="1"/>
    </row>
    <row r="854" ht="13.5" customHeight="1">
      <c r="B854" s="1"/>
      <c r="C854" s="1"/>
      <c r="D854" s="1"/>
    </row>
    <row r="855" ht="13.5" customHeight="1">
      <c r="B855" s="1"/>
      <c r="C855" s="1"/>
      <c r="D855" s="1"/>
    </row>
    <row r="856" ht="13.5" customHeight="1">
      <c r="B856" s="1"/>
      <c r="C856" s="1"/>
      <c r="D856" s="1"/>
    </row>
    <row r="857" ht="13.5" customHeight="1">
      <c r="B857" s="1"/>
      <c r="C857" s="1"/>
      <c r="D857" s="1"/>
    </row>
    <row r="858" ht="13.5" customHeight="1">
      <c r="B858" s="1"/>
      <c r="C858" s="1"/>
      <c r="D858" s="1"/>
    </row>
    <row r="859" ht="13.5" customHeight="1">
      <c r="B859" s="1"/>
      <c r="C859" s="1"/>
      <c r="D859" s="1"/>
    </row>
    <row r="860" ht="13.5" customHeight="1">
      <c r="B860" s="1"/>
      <c r="C860" s="1"/>
      <c r="D860" s="1"/>
    </row>
    <row r="861" ht="13.5" customHeight="1">
      <c r="B861" s="1"/>
      <c r="C861" s="1"/>
      <c r="D861" s="1"/>
    </row>
    <row r="862" ht="13.5" customHeight="1">
      <c r="B862" s="1"/>
      <c r="C862" s="1"/>
      <c r="D862" s="1"/>
    </row>
    <row r="863" ht="13.5" customHeight="1">
      <c r="B863" s="1"/>
      <c r="C863" s="1"/>
      <c r="D863" s="1"/>
    </row>
    <row r="864" ht="13.5" customHeight="1">
      <c r="B864" s="1"/>
      <c r="C864" s="1"/>
      <c r="D864" s="1"/>
    </row>
    <row r="865" ht="13.5" customHeight="1">
      <c r="B865" s="1"/>
      <c r="C865" s="1"/>
      <c r="D865" s="1"/>
    </row>
    <row r="866" ht="13.5" customHeight="1">
      <c r="B866" s="1"/>
      <c r="C866" s="1"/>
      <c r="D866" s="1"/>
    </row>
    <row r="867" ht="13.5" customHeight="1">
      <c r="B867" s="1"/>
      <c r="C867" s="1"/>
      <c r="D867" s="1"/>
    </row>
    <row r="868" ht="13.5" customHeight="1">
      <c r="B868" s="1"/>
      <c r="C868" s="1"/>
      <c r="D868" s="1"/>
    </row>
    <row r="869" ht="13.5" customHeight="1">
      <c r="B869" s="1"/>
      <c r="C869" s="1"/>
      <c r="D869" s="1"/>
    </row>
    <row r="870" ht="13.5" customHeight="1">
      <c r="B870" s="1"/>
      <c r="C870" s="1"/>
      <c r="D870" s="1"/>
    </row>
    <row r="871" ht="13.5" customHeight="1">
      <c r="B871" s="1"/>
      <c r="C871" s="1"/>
      <c r="D871" s="1"/>
    </row>
    <row r="872" ht="13.5" customHeight="1">
      <c r="B872" s="1"/>
      <c r="C872" s="1"/>
      <c r="D872" s="1"/>
    </row>
    <row r="873" ht="13.5" customHeight="1">
      <c r="B873" s="1"/>
      <c r="C873" s="1"/>
      <c r="D873" s="1"/>
    </row>
    <row r="874" ht="13.5" customHeight="1">
      <c r="B874" s="1"/>
      <c r="C874" s="1"/>
      <c r="D874" s="1"/>
    </row>
    <row r="875" ht="13.5" customHeight="1">
      <c r="B875" s="1"/>
      <c r="C875" s="1"/>
      <c r="D875" s="1"/>
    </row>
    <row r="876" ht="13.5" customHeight="1">
      <c r="B876" s="1"/>
      <c r="C876" s="1"/>
      <c r="D876" s="1"/>
    </row>
    <row r="877" ht="13.5" customHeight="1">
      <c r="B877" s="1"/>
      <c r="C877" s="1"/>
      <c r="D877" s="1"/>
    </row>
    <row r="878" ht="13.5" customHeight="1">
      <c r="B878" s="1"/>
      <c r="C878" s="1"/>
      <c r="D878" s="1"/>
    </row>
    <row r="879" ht="13.5" customHeight="1">
      <c r="B879" s="1"/>
      <c r="C879" s="1"/>
      <c r="D879" s="1"/>
    </row>
    <row r="880" ht="13.5" customHeight="1">
      <c r="B880" s="1"/>
      <c r="C880" s="1"/>
      <c r="D880" s="1"/>
    </row>
    <row r="881" ht="13.5" customHeight="1">
      <c r="B881" s="1"/>
      <c r="C881" s="1"/>
      <c r="D881" s="1"/>
    </row>
    <row r="882" ht="13.5" customHeight="1">
      <c r="B882" s="1"/>
      <c r="C882" s="1"/>
      <c r="D882" s="1"/>
    </row>
    <row r="883" ht="13.5" customHeight="1">
      <c r="B883" s="1"/>
      <c r="C883" s="1"/>
      <c r="D883" s="1"/>
    </row>
    <row r="884" ht="13.5" customHeight="1">
      <c r="B884" s="1"/>
      <c r="C884" s="1"/>
      <c r="D884" s="1"/>
    </row>
    <row r="885" ht="13.5" customHeight="1">
      <c r="B885" s="1"/>
      <c r="C885" s="1"/>
      <c r="D885" s="1"/>
    </row>
    <row r="886" ht="13.5" customHeight="1">
      <c r="B886" s="1"/>
      <c r="C886" s="1"/>
      <c r="D886" s="1"/>
    </row>
    <row r="887" ht="13.5" customHeight="1">
      <c r="B887" s="1"/>
      <c r="C887" s="1"/>
      <c r="D887" s="1"/>
    </row>
    <row r="888" ht="13.5" customHeight="1">
      <c r="B888" s="1"/>
      <c r="C888" s="1"/>
      <c r="D888" s="1"/>
    </row>
    <row r="889" ht="13.5" customHeight="1">
      <c r="B889" s="1"/>
      <c r="C889" s="1"/>
      <c r="D889" s="1"/>
    </row>
    <row r="890" ht="13.5" customHeight="1">
      <c r="B890" s="1"/>
      <c r="C890" s="1"/>
      <c r="D890" s="1"/>
    </row>
    <row r="891" ht="13.5" customHeight="1">
      <c r="B891" s="1"/>
      <c r="C891" s="1"/>
      <c r="D891" s="1"/>
    </row>
    <row r="892" ht="13.5" customHeight="1">
      <c r="B892" s="1"/>
      <c r="C892" s="1"/>
      <c r="D892" s="1"/>
    </row>
    <row r="893" ht="13.5" customHeight="1">
      <c r="B893" s="1"/>
      <c r="C893" s="1"/>
      <c r="D893" s="1"/>
    </row>
    <row r="894" ht="13.5" customHeight="1">
      <c r="B894" s="1"/>
      <c r="C894" s="1"/>
      <c r="D894" s="1"/>
    </row>
    <row r="895" ht="13.5" customHeight="1">
      <c r="B895" s="1"/>
      <c r="C895" s="1"/>
      <c r="D895" s="1"/>
    </row>
    <row r="896" ht="13.5" customHeight="1">
      <c r="B896" s="1"/>
      <c r="C896" s="1"/>
      <c r="D896" s="1"/>
    </row>
    <row r="897" ht="13.5" customHeight="1">
      <c r="B897" s="1"/>
      <c r="C897" s="1"/>
      <c r="D897" s="1"/>
    </row>
    <row r="898" ht="13.5" customHeight="1">
      <c r="B898" s="1"/>
      <c r="C898" s="1"/>
      <c r="D898" s="1"/>
    </row>
    <row r="899" ht="13.5" customHeight="1">
      <c r="B899" s="1"/>
      <c r="C899" s="1"/>
      <c r="D899" s="1"/>
    </row>
    <row r="900" ht="13.5" customHeight="1">
      <c r="B900" s="1"/>
      <c r="C900" s="1"/>
      <c r="D900" s="1"/>
    </row>
    <row r="901" ht="13.5" customHeight="1">
      <c r="B901" s="1"/>
      <c r="C901" s="1"/>
      <c r="D901" s="1"/>
    </row>
    <row r="902" ht="13.5" customHeight="1">
      <c r="B902" s="1"/>
      <c r="C902" s="1"/>
      <c r="D902" s="1"/>
    </row>
    <row r="903" ht="13.5" customHeight="1">
      <c r="B903" s="1"/>
      <c r="C903" s="1"/>
      <c r="D903" s="1"/>
    </row>
    <row r="904" ht="13.5" customHeight="1">
      <c r="B904" s="1"/>
      <c r="C904" s="1"/>
      <c r="D904" s="1"/>
    </row>
    <row r="905" ht="13.5" customHeight="1">
      <c r="B905" s="1"/>
      <c r="C905" s="1"/>
      <c r="D905" s="1"/>
    </row>
    <row r="906" ht="13.5" customHeight="1">
      <c r="B906" s="1"/>
      <c r="C906" s="1"/>
      <c r="D906" s="1"/>
    </row>
    <row r="907" ht="13.5" customHeight="1">
      <c r="B907" s="1"/>
      <c r="C907" s="1"/>
      <c r="D907" s="1"/>
    </row>
    <row r="908" ht="13.5" customHeight="1">
      <c r="B908" s="1"/>
      <c r="C908" s="1"/>
      <c r="D908" s="1"/>
    </row>
    <row r="909" ht="13.5" customHeight="1">
      <c r="B909" s="1"/>
      <c r="C909" s="1"/>
      <c r="D909" s="1"/>
    </row>
    <row r="910" ht="13.5" customHeight="1">
      <c r="B910" s="1"/>
      <c r="C910" s="1"/>
      <c r="D910" s="1"/>
    </row>
    <row r="911" ht="13.5" customHeight="1">
      <c r="B911" s="1"/>
      <c r="C911" s="1"/>
      <c r="D911" s="1"/>
    </row>
    <row r="912" ht="13.5" customHeight="1">
      <c r="B912" s="1"/>
      <c r="C912" s="1"/>
      <c r="D912" s="1"/>
    </row>
    <row r="913" ht="13.5" customHeight="1">
      <c r="B913" s="1"/>
      <c r="C913" s="1"/>
      <c r="D913" s="1"/>
    </row>
    <row r="914" ht="13.5" customHeight="1">
      <c r="B914" s="1"/>
      <c r="C914" s="1"/>
      <c r="D914" s="1"/>
    </row>
    <row r="915" ht="13.5" customHeight="1">
      <c r="B915" s="1"/>
      <c r="C915" s="1"/>
      <c r="D915" s="1"/>
    </row>
    <row r="916" ht="13.5" customHeight="1">
      <c r="B916" s="1"/>
      <c r="C916" s="1"/>
      <c r="D916" s="1"/>
    </row>
    <row r="917" ht="13.5" customHeight="1">
      <c r="B917" s="1"/>
      <c r="C917" s="1"/>
      <c r="D917" s="1"/>
    </row>
    <row r="918" ht="13.5" customHeight="1">
      <c r="B918" s="1"/>
      <c r="C918" s="1"/>
      <c r="D918" s="1"/>
    </row>
    <row r="919" ht="13.5" customHeight="1">
      <c r="B919" s="1"/>
      <c r="C919" s="1"/>
      <c r="D919" s="1"/>
    </row>
    <row r="920" ht="13.5" customHeight="1">
      <c r="B920" s="1"/>
      <c r="C920" s="1"/>
      <c r="D920" s="1"/>
    </row>
    <row r="921" ht="13.5" customHeight="1">
      <c r="B921" s="1"/>
      <c r="C921" s="1"/>
      <c r="D921" s="1"/>
    </row>
    <row r="922" ht="13.5" customHeight="1">
      <c r="B922" s="1"/>
      <c r="C922" s="1"/>
      <c r="D922" s="1"/>
    </row>
    <row r="923" ht="13.5" customHeight="1">
      <c r="B923" s="1"/>
      <c r="C923" s="1"/>
      <c r="D923" s="1"/>
    </row>
    <row r="924" ht="13.5" customHeight="1">
      <c r="B924" s="1"/>
      <c r="C924" s="1"/>
      <c r="D924" s="1"/>
    </row>
    <row r="925" ht="13.5" customHeight="1">
      <c r="B925" s="1"/>
      <c r="C925" s="1"/>
      <c r="D925" s="1"/>
    </row>
    <row r="926" ht="13.5" customHeight="1">
      <c r="B926" s="1"/>
      <c r="C926" s="1"/>
      <c r="D926" s="1"/>
    </row>
    <row r="927" ht="13.5" customHeight="1">
      <c r="B927" s="1"/>
      <c r="C927" s="1"/>
      <c r="D927" s="1"/>
    </row>
    <row r="928" ht="13.5" customHeight="1">
      <c r="B928" s="1"/>
      <c r="C928" s="1"/>
      <c r="D928" s="1"/>
    </row>
    <row r="929" ht="13.5" customHeight="1">
      <c r="B929" s="1"/>
      <c r="C929" s="1"/>
      <c r="D929" s="1"/>
    </row>
    <row r="930" ht="13.5" customHeight="1">
      <c r="B930" s="1"/>
      <c r="C930" s="1"/>
      <c r="D930" s="1"/>
    </row>
    <row r="931" ht="13.5" customHeight="1">
      <c r="B931" s="1"/>
      <c r="C931" s="1"/>
      <c r="D931" s="1"/>
    </row>
    <row r="932" ht="13.5" customHeight="1">
      <c r="B932" s="1"/>
      <c r="C932" s="1"/>
      <c r="D932" s="1"/>
    </row>
    <row r="933" ht="13.5" customHeight="1">
      <c r="B933" s="1"/>
      <c r="C933" s="1"/>
      <c r="D933" s="1"/>
    </row>
    <row r="934" ht="13.5" customHeight="1">
      <c r="B934" s="1"/>
      <c r="C934" s="1"/>
      <c r="D934" s="1"/>
    </row>
    <row r="935" ht="13.5" customHeight="1">
      <c r="B935" s="1"/>
      <c r="C935" s="1"/>
      <c r="D935" s="1"/>
    </row>
    <row r="936" ht="13.5" customHeight="1">
      <c r="B936" s="1"/>
      <c r="C936" s="1"/>
      <c r="D936" s="1"/>
    </row>
    <row r="937" ht="13.5" customHeight="1">
      <c r="B937" s="1"/>
      <c r="C937" s="1"/>
      <c r="D937" s="1"/>
    </row>
    <row r="938" ht="13.5" customHeight="1">
      <c r="B938" s="1"/>
      <c r="C938" s="1"/>
      <c r="D938" s="1"/>
    </row>
    <row r="939" ht="13.5" customHeight="1">
      <c r="B939" s="1"/>
      <c r="C939" s="1"/>
      <c r="D939" s="1"/>
    </row>
    <row r="940" ht="13.5" customHeight="1">
      <c r="B940" s="1"/>
      <c r="C940" s="1"/>
      <c r="D940" s="1"/>
    </row>
    <row r="941" ht="13.5" customHeight="1">
      <c r="B941" s="1"/>
      <c r="C941" s="1"/>
      <c r="D941" s="1"/>
    </row>
    <row r="942" ht="13.5" customHeight="1">
      <c r="B942" s="1"/>
      <c r="C942" s="1"/>
      <c r="D942" s="1"/>
    </row>
    <row r="943" ht="13.5" customHeight="1">
      <c r="B943" s="1"/>
      <c r="C943" s="1"/>
      <c r="D943" s="1"/>
    </row>
    <row r="944" ht="13.5" customHeight="1">
      <c r="B944" s="1"/>
      <c r="C944" s="1"/>
      <c r="D944" s="1"/>
    </row>
    <row r="945" ht="13.5" customHeight="1">
      <c r="B945" s="1"/>
      <c r="C945" s="1"/>
      <c r="D945" s="1"/>
    </row>
    <row r="946" ht="13.5" customHeight="1">
      <c r="B946" s="1"/>
      <c r="C946" s="1"/>
      <c r="D946" s="1"/>
    </row>
    <row r="947" ht="13.5" customHeight="1">
      <c r="B947" s="1"/>
      <c r="C947" s="1"/>
      <c r="D947" s="1"/>
    </row>
    <row r="948" ht="13.5" customHeight="1">
      <c r="B948" s="1"/>
      <c r="C948" s="1"/>
      <c r="D948" s="1"/>
    </row>
    <row r="949" ht="13.5" customHeight="1">
      <c r="B949" s="1"/>
      <c r="C949" s="1"/>
      <c r="D949" s="1"/>
    </row>
    <row r="950" ht="13.5" customHeight="1">
      <c r="B950" s="1"/>
      <c r="C950" s="1"/>
      <c r="D950" s="1"/>
    </row>
    <row r="951" ht="13.5" customHeight="1">
      <c r="B951" s="1"/>
      <c r="C951" s="1"/>
      <c r="D951" s="1"/>
    </row>
    <row r="952" ht="13.5" customHeight="1">
      <c r="B952" s="1"/>
      <c r="C952" s="1"/>
      <c r="D952" s="1"/>
    </row>
    <row r="953" ht="13.5" customHeight="1">
      <c r="B953" s="1"/>
      <c r="C953" s="1"/>
      <c r="D953" s="1"/>
    </row>
    <row r="954" ht="13.5" customHeight="1">
      <c r="B954" s="1"/>
      <c r="C954" s="1"/>
      <c r="D954" s="1"/>
    </row>
    <row r="955" ht="13.5" customHeight="1">
      <c r="B955" s="1"/>
      <c r="C955" s="1"/>
      <c r="D955" s="1"/>
    </row>
    <row r="956" ht="13.5" customHeight="1">
      <c r="B956" s="1"/>
      <c r="C956" s="1"/>
      <c r="D956" s="1"/>
    </row>
    <row r="957" ht="13.5" customHeight="1">
      <c r="B957" s="1"/>
      <c r="C957" s="1"/>
      <c r="D957" s="1"/>
    </row>
    <row r="958" ht="13.5" customHeight="1">
      <c r="B958" s="1"/>
      <c r="C958" s="1"/>
      <c r="D958" s="1"/>
    </row>
    <row r="959" ht="13.5" customHeight="1">
      <c r="B959" s="1"/>
      <c r="C959" s="1"/>
      <c r="D959" s="1"/>
    </row>
    <row r="960" ht="13.5" customHeight="1">
      <c r="B960" s="1"/>
      <c r="C960" s="1"/>
      <c r="D960" s="1"/>
    </row>
    <row r="961" ht="13.5" customHeight="1">
      <c r="B961" s="1"/>
      <c r="C961" s="1"/>
      <c r="D961" s="1"/>
    </row>
    <row r="962" ht="13.5" customHeight="1">
      <c r="B962" s="1"/>
      <c r="C962" s="1"/>
      <c r="D962" s="1"/>
    </row>
    <row r="963" ht="13.5" customHeight="1">
      <c r="B963" s="1"/>
      <c r="C963" s="1"/>
      <c r="D963" s="1"/>
    </row>
    <row r="964" ht="13.5" customHeight="1">
      <c r="B964" s="1"/>
      <c r="C964" s="1"/>
      <c r="D964" s="1"/>
    </row>
    <row r="965" ht="13.5" customHeight="1">
      <c r="B965" s="1"/>
      <c r="C965" s="1"/>
      <c r="D965" s="1"/>
    </row>
    <row r="966" ht="13.5" customHeight="1">
      <c r="B966" s="1"/>
      <c r="C966" s="1"/>
      <c r="D966" s="1"/>
    </row>
    <row r="967" ht="13.5" customHeight="1">
      <c r="B967" s="1"/>
      <c r="C967" s="1"/>
      <c r="D967" s="1"/>
    </row>
    <row r="968" ht="13.5" customHeight="1">
      <c r="B968" s="1"/>
      <c r="C968" s="1"/>
      <c r="D968" s="1"/>
    </row>
    <row r="969" ht="13.5" customHeight="1">
      <c r="B969" s="1"/>
      <c r="C969" s="1"/>
      <c r="D969" s="1"/>
    </row>
    <row r="970" ht="13.5" customHeight="1">
      <c r="B970" s="1"/>
      <c r="C970" s="1"/>
      <c r="D970" s="1"/>
    </row>
    <row r="971" ht="13.5" customHeight="1">
      <c r="B971" s="1"/>
      <c r="C971" s="1"/>
      <c r="D971" s="1"/>
    </row>
    <row r="972" ht="13.5" customHeight="1">
      <c r="B972" s="1"/>
      <c r="C972" s="1"/>
      <c r="D972" s="1"/>
    </row>
    <row r="973" ht="13.5" customHeight="1">
      <c r="B973" s="1"/>
      <c r="C973" s="1"/>
      <c r="D973" s="1"/>
    </row>
    <row r="974" ht="13.5" customHeight="1">
      <c r="B974" s="1"/>
      <c r="C974" s="1"/>
      <c r="D974" s="1"/>
    </row>
    <row r="975" ht="13.5" customHeight="1">
      <c r="B975" s="1"/>
      <c r="C975" s="1"/>
      <c r="D975" s="1"/>
    </row>
    <row r="976" ht="13.5" customHeight="1">
      <c r="B976" s="1"/>
      <c r="C976" s="1"/>
      <c r="D976" s="1"/>
    </row>
    <row r="977" ht="13.5" customHeight="1">
      <c r="B977" s="1"/>
      <c r="C977" s="1"/>
      <c r="D977" s="1"/>
    </row>
    <row r="978" ht="13.5" customHeight="1">
      <c r="B978" s="1"/>
      <c r="C978" s="1"/>
      <c r="D978" s="1"/>
    </row>
    <row r="979" ht="13.5" customHeight="1">
      <c r="B979" s="1"/>
      <c r="C979" s="1"/>
      <c r="D979" s="1"/>
    </row>
    <row r="980" ht="13.5" customHeight="1">
      <c r="B980" s="1"/>
      <c r="C980" s="1"/>
      <c r="D980" s="1"/>
    </row>
    <row r="981" ht="13.5" customHeight="1">
      <c r="B981" s="1"/>
      <c r="C981" s="1"/>
      <c r="D981" s="1"/>
    </row>
    <row r="982" ht="13.5" customHeight="1">
      <c r="B982" s="1"/>
      <c r="C982" s="1"/>
      <c r="D982" s="1"/>
    </row>
    <row r="983" ht="13.5" customHeight="1">
      <c r="B983" s="1"/>
      <c r="C983" s="1"/>
      <c r="D983" s="1"/>
    </row>
    <row r="984" ht="13.5" customHeight="1">
      <c r="B984" s="1"/>
      <c r="C984" s="1"/>
      <c r="D984" s="1"/>
    </row>
    <row r="985" ht="13.5" customHeight="1">
      <c r="B985" s="1"/>
      <c r="C985" s="1"/>
      <c r="D985" s="1"/>
    </row>
    <row r="986" ht="13.5" customHeight="1">
      <c r="B986" s="1"/>
      <c r="C986" s="1"/>
      <c r="D986" s="1"/>
    </row>
    <row r="987" ht="13.5" customHeight="1">
      <c r="B987" s="1"/>
      <c r="C987" s="1"/>
      <c r="D987" s="1"/>
    </row>
    <row r="988" ht="13.5" customHeight="1">
      <c r="B988" s="1"/>
      <c r="C988" s="1"/>
      <c r="D988" s="1"/>
    </row>
    <row r="989" ht="13.5" customHeight="1">
      <c r="B989" s="1"/>
      <c r="C989" s="1"/>
      <c r="D989" s="1"/>
    </row>
    <row r="990" ht="13.5" customHeight="1">
      <c r="B990" s="1"/>
      <c r="C990" s="1"/>
      <c r="D990" s="1"/>
    </row>
    <row r="991" ht="13.5" customHeight="1">
      <c r="B991" s="1"/>
      <c r="C991" s="1"/>
      <c r="D991" s="1"/>
    </row>
    <row r="992" ht="13.5" customHeight="1">
      <c r="B992" s="1"/>
      <c r="C992" s="1"/>
      <c r="D992" s="1"/>
    </row>
    <row r="993" ht="13.5" customHeight="1">
      <c r="B993" s="1"/>
      <c r="C993" s="1"/>
      <c r="D993" s="1"/>
    </row>
    <row r="994" ht="13.5" customHeight="1">
      <c r="B994" s="1"/>
      <c r="C994" s="1"/>
      <c r="D994" s="1"/>
    </row>
    <row r="995" ht="13.5" customHeight="1">
      <c r="B995" s="1"/>
      <c r="C995" s="1"/>
      <c r="D995" s="1"/>
    </row>
    <row r="996" ht="13.5" customHeight="1">
      <c r="B996" s="1"/>
      <c r="C996" s="1"/>
      <c r="D996" s="1"/>
    </row>
    <row r="997" ht="13.5" customHeight="1">
      <c r="B997" s="1"/>
      <c r="C997" s="1"/>
      <c r="D997" s="1"/>
    </row>
    <row r="998" ht="13.5" customHeight="1">
      <c r="B998" s="1"/>
      <c r="C998" s="1"/>
      <c r="D998" s="1"/>
    </row>
    <row r="999" ht="13.5" customHeight="1">
      <c r="B999" s="1"/>
      <c r="C999" s="1"/>
      <c r="D999" s="1"/>
    </row>
    <row r="1000" ht="13.5" customHeight="1">
      <c r="B1000" s="1"/>
      <c r="C1000" s="1"/>
      <c r="D1000" s="1"/>
    </row>
  </sheetData>
  <printOptions/>
  <pageMargins bottom="0.75" footer="0.0" header="0.0" left="0.7" right="0.7" top="0.75"/>
  <pageSetup orientation="landscape"/>
  <drawing r:id="rId1"/>
</worksheet>
</file>